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nkgmbh-my.sharepoint.com/personal/alexander_hoppe_de_schunk_com/Documents/Documents/Praxisarbeiten/T1000/"/>
    </mc:Choice>
  </mc:AlternateContent>
  <xr:revisionPtr revIDLastSave="2220" documentId="8_{EFF323C0-A239-4CD0-B351-8980BADD380B}" xr6:coauthVersionLast="47" xr6:coauthVersionMax="47" xr10:uidLastSave="{D537303E-A185-491C-BABE-038EF8DD081B}"/>
  <bookViews>
    <workbookView xWindow="-108" yWindow="-108" windowWidth="23256" windowHeight="12456" activeTab="1" xr2:uid="{E37EC79B-F2C8-4B86-B3F3-7A2E9D42A5B8}"/>
  </bookViews>
  <sheets>
    <sheet name="Übersicht Motoren" sheetId="1" r:id="rId1"/>
    <sheet name="Vergleich Bestellliste" sheetId="4" r:id="rId2"/>
    <sheet name="Vergleich Maxon 80W" sheetId="2" r:id="rId3"/>
    <sheet name="Vergleich Maxon 50W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4" l="1"/>
  <c r="G62" i="4"/>
  <c r="H62" i="4"/>
  <c r="I62" i="4"/>
  <c r="J62" i="4"/>
  <c r="K62" i="4"/>
  <c r="E62" i="4"/>
  <c r="D62" i="4"/>
  <c r="J69" i="4"/>
  <c r="G69" i="4"/>
  <c r="F69" i="4"/>
  <c r="D69" i="4"/>
  <c r="K69" i="4"/>
  <c r="I69" i="4"/>
  <c r="H69" i="4"/>
  <c r="E69" i="4"/>
  <c r="C71" i="4" l="1"/>
</calcChain>
</file>

<file path=xl/sharedStrings.xml><?xml version="1.0" encoding="utf-8"?>
<sst xmlns="http://schemas.openxmlformats.org/spreadsheetml/2006/main" count="647" uniqueCount="220">
  <si>
    <t>Übersicht Motoren</t>
  </si>
  <si>
    <t>Hersteller</t>
  </si>
  <si>
    <t>Bezeichnung</t>
  </si>
  <si>
    <t>Polpaarzahl</t>
  </si>
  <si>
    <t>Maxon</t>
  </si>
  <si>
    <t>EC 45 Flat</t>
  </si>
  <si>
    <t>Preis (1x)</t>
  </si>
  <si>
    <t>Online-Shop für hochpräzise Antriebssysteme von maxon | maxon group</t>
  </si>
  <si>
    <t>Neu</t>
  </si>
  <si>
    <t>Nanotec</t>
  </si>
  <si>
    <t>DF45L024048-E</t>
  </si>
  <si>
    <t>Nennleistung</t>
  </si>
  <si>
    <t>65 W</t>
  </si>
  <si>
    <t>80 W</t>
  </si>
  <si>
    <t>DF45L024048-E - Bürstenloser DC-Flachmotor mit … | Nanotec</t>
  </si>
  <si>
    <t>Orbex</t>
  </si>
  <si>
    <t>EC4527</t>
  </si>
  <si>
    <t>62,2 W</t>
  </si>
  <si>
    <t>EC4527 Flachbürstenloser Gleichstrommotor - Orbex Gruppe</t>
  </si>
  <si>
    <t>Webseite</t>
  </si>
  <si>
    <t>Datenblatt</t>
  </si>
  <si>
    <t>DE-290-2020.pdf</t>
  </si>
  <si>
    <t>EC4527.pdf</t>
  </si>
  <si>
    <t>45BLW29-E</t>
  </si>
  <si>
    <t>45BLW29-E 45BLW -E | Delta Line</t>
  </si>
  <si>
    <t>filedlw.php</t>
  </si>
  <si>
    <t>Delta Line</t>
  </si>
  <si>
    <t>Motor mit integr. Elektronik Serie 4221 ... BXT H SC | FAULHABER</t>
  </si>
  <si>
    <t>Faulhaber</t>
  </si>
  <si>
    <t>60 W</t>
  </si>
  <si>
    <t>auf Anfrage</t>
  </si>
  <si>
    <t>Modell</t>
  </si>
  <si>
    <t>Nennspannung</t>
  </si>
  <si>
    <t>Leerlaufdrehzahl</t>
  </si>
  <si>
    <t>Leerlaufstrom</t>
  </si>
  <si>
    <t>Nennmoment</t>
  </si>
  <si>
    <t>Nennstrom</t>
  </si>
  <si>
    <t>Nenndrehzahl</t>
  </si>
  <si>
    <t>Anlaufstrom</t>
  </si>
  <si>
    <t>A</t>
  </si>
  <si>
    <t>V</t>
  </si>
  <si>
    <t>mA</t>
  </si>
  <si>
    <t>mNm</t>
  </si>
  <si>
    <t>Wirkungsgrad</t>
  </si>
  <si>
    <t>%</t>
  </si>
  <si>
    <t>Anschlusswiderstand</t>
  </si>
  <si>
    <t>Anschlussimdiktivität</t>
  </si>
  <si>
    <t>Drehmomentkonstante</t>
  </si>
  <si>
    <t>Drehzahlkonstante</t>
  </si>
  <si>
    <t>Kennliniensteigung</t>
  </si>
  <si>
    <t>Mechanische Anlaufzeit</t>
  </si>
  <si>
    <t>Rotorträgheitsmoment</t>
  </si>
  <si>
    <t>mNm/A</t>
  </si>
  <si>
    <t>ms</t>
  </si>
  <si>
    <t>K/W</t>
  </si>
  <si>
    <t>Therm. Widerstand (ges.)</t>
  </si>
  <si>
    <t>Therm. Zeitkonstante Wicklung</t>
  </si>
  <si>
    <t>s</t>
  </si>
  <si>
    <t>°C</t>
  </si>
  <si>
    <t>Umgebungstemperatur max.</t>
  </si>
  <si>
    <t>Umgebungstemperatur min.</t>
  </si>
  <si>
    <t>Wicklungstemperatur max.</t>
  </si>
  <si>
    <t>Grenzdrehzal</t>
  </si>
  <si>
    <t>Phasen</t>
  </si>
  <si>
    <t>Gewicht</t>
  </si>
  <si>
    <t>g</t>
  </si>
  <si>
    <t>Deltaline</t>
  </si>
  <si>
    <t>W</t>
  </si>
  <si>
    <t>Länge Welle</t>
  </si>
  <si>
    <t>Durchmesser Welle</t>
  </si>
  <si>
    <t>mm</t>
  </si>
  <si>
    <t>Länge über Alles</t>
  </si>
  <si>
    <t>k.A.</t>
  </si>
  <si>
    <t>Maximalsotrm</t>
  </si>
  <si>
    <t>mΩ</t>
  </si>
  <si>
    <t>Maximaldrehmoment</t>
  </si>
  <si>
    <t>Bemerkungen</t>
  </si>
  <si>
    <t>EC 4527</t>
  </si>
  <si>
    <t>Teilenummer (fals vorhanden)</t>
  </si>
  <si>
    <t>Wellendurchmesser 4mm</t>
  </si>
  <si>
    <t>4221G024BXT R</t>
  </si>
  <si>
    <t>µH</t>
  </si>
  <si>
    <t>Länge Motrkörper</t>
  </si>
  <si>
    <t>max.Durchmesser Motorkörper</t>
  </si>
  <si>
    <t>45BLE27-24-01</t>
  </si>
  <si>
    <t>Wellendurchmesser</t>
  </si>
  <si>
    <t>Kaufen 45BLE27-24-01 Außenläufermotor 24V 4850 U/min 0.13 Nm 70W 3.6 A 3 Phasen Bürstenloser DC-Getriebemotor online - Oyostepper.de</t>
  </si>
  <si>
    <t>Oyostepper</t>
  </si>
  <si>
    <t>4221G024BXTR</t>
  </si>
  <si>
    <t>100 W</t>
  </si>
  <si>
    <t>Bürstenloser DC-Motor Serie 4221 ... BXT R | FAULHABER</t>
  </si>
  <si>
    <t>DE_4221_BXTR_DFF.pdf</t>
  </si>
  <si>
    <t>4221G024BXTH</t>
  </si>
  <si>
    <t>DE_4221_BXTH_DFF.pdf</t>
  </si>
  <si>
    <t>Vollständiges Datenblatt: 45BLE27-24-01.pdf</t>
  </si>
  <si>
    <t>Hallsensoren (über Signale auslesbar)</t>
  </si>
  <si>
    <t>Wellendurchmesser 5mm</t>
  </si>
  <si>
    <t>66 W</t>
  </si>
  <si>
    <t>SVTM F 03-0.130</t>
  </si>
  <si>
    <t>SVTM-F-Series.pdf</t>
  </si>
  <si>
    <t>Outrunner Flache BLDC-Motoren - Servotecnica</t>
  </si>
  <si>
    <t>BLDC-Motor Typ BL42.66H | PowerTronic</t>
  </si>
  <si>
    <t>Typ-BL42-66H-2023-12-07.pdf</t>
  </si>
  <si>
    <t>PowerTronic</t>
  </si>
  <si>
    <t>BL42.66H</t>
  </si>
  <si>
    <t>Powertronic</t>
  </si>
  <si>
    <t>7 oder 8</t>
  </si>
  <si>
    <t>127 bis 160 (360)</t>
  </si>
  <si>
    <t>4000 bis 6110</t>
  </si>
  <si>
    <t>60W bis 100 W</t>
  </si>
  <si>
    <t>2,78A bis 4,50A</t>
  </si>
  <si>
    <t>24,00V</t>
  </si>
  <si>
    <t>139mA bis 500mA</t>
  </si>
  <si>
    <t>3000 bis 4860</t>
  </si>
  <si>
    <t>112mNm bis 250mNm</t>
  </si>
  <si>
    <t>9,5A bis 39,5A</t>
  </si>
  <si>
    <t>1150mNm bis 390 mNm</t>
  </si>
  <si>
    <t>550Ω bis 740Ω</t>
  </si>
  <si>
    <t>220µH bis 664µH</t>
  </si>
  <si>
    <t>36,90mNm bis 37,70mNm</t>
  </si>
  <si>
    <t xml:space="preserve"> -40°C bis-20°C</t>
  </si>
  <si>
    <t>50°C bis 100°C</t>
  </si>
  <si>
    <t>80°C oder 125°C</t>
  </si>
  <si>
    <t>42mm bis 45mm</t>
  </si>
  <si>
    <t>21,20mm bis 29mm (66mm)</t>
  </si>
  <si>
    <t>4mm oder 5mm</t>
  </si>
  <si>
    <t>34,20mm bis 47,60mm (81mm)</t>
  </si>
  <si>
    <t>zusammengefasst (ohne Maxon Motor):</t>
  </si>
  <si>
    <r>
      <rPr>
        <sz val="11"/>
        <color theme="3" tint="0.499984740745262"/>
        <rFont val="Calibri"/>
        <family val="2"/>
      </rPr>
      <t xml:space="preserve">*** </t>
    </r>
    <r>
      <rPr>
        <sz val="11"/>
        <color theme="1"/>
        <rFont val="Calibri"/>
        <family val="2"/>
      </rPr>
      <t xml:space="preserve">bis </t>
    </r>
    <r>
      <rPr>
        <sz val="11"/>
        <color rgb="FFFF0000"/>
        <rFont val="Calibri"/>
        <family val="2"/>
      </rPr>
      <t>***</t>
    </r>
  </si>
  <si>
    <t>85% oder 87%</t>
  </si>
  <si>
    <t>3,59ms oder 8,10ms</t>
  </si>
  <si>
    <t>6,80mm bis 17,40mm</t>
  </si>
  <si>
    <t>77 W</t>
  </si>
  <si>
    <t>Vergleichbare Motoren zum Maxon 608144 (80 W) (60 W - 100W)</t>
  </si>
  <si>
    <t>"Kragendurchmesser"</t>
  </si>
  <si>
    <t>4221G024BXT H</t>
  </si>
  <si>
    <t>12,00mm oder 16mm (17,50mm)</t>
  </si>
  <si>
    <t>Maxon (80W)</t>
  </si>
  <si>
    <t>EC flat</t>
  </si>
  <si>
    <t>Datenblatt_ Maxon_EC45flat_50W.pdf</t>
  </si>
  <si>
    <t>50 W</t>
  </si>
  <si>
    <t>Maxon (50W)</t>
  </si>
  <si>
    <t>KSE 3</t>
  </si>
  <si>
    <t>NSE-E mini 90-25 IOL</t>
  </si>
  <si>
    <t>k. A.</t>
  </si>
  <si>
    <t>Therm. Zeitkonstante Motor</t>
  </si>
  <si>
    <t>Alternative KSE 3</t>
  </si>
  <si>
    <t>Alternative NSE-e mini 90-25 IOL</t>
  </si>
  <si>
    <t>45BLW21</t>
  </si>
  <si>
    <t>Servotechnica</t>
  </si>
  <si>
    <t>BL43.26</t>
  </si>
  <si>
    <t>Hobbybereich:</t>
  </si>
  <si>
    <t>Servonaut Online-Shop - Motor TM72</t>
  </si>
  <si>
    <t>TM 72</t>
  </si>
  <si>
    <t>Servonaut</t>
  </si>
  <si>
    <t>ACT Motor GmbH</t>
  </si>
  <si>
    <t>Motoren unter 50€</t>
  </si>
  <si>
    <t>57BL03-1</t>
  </si>
  <si>
    <t>Teilenummer / Warennummer</t>
  </si>
  <si>
    <t>Vergleichbare Motoren zum Maxon 651610 / 651613 (50 W) [Maßangaben ohne Tolleranzen]</t>
  </si>
  <si>
    <t>Preis</t>
  </si>
  <si>
    <t>€</t>
  </si>
  <si>
    <t>Low Budget</t>
  </si>
  <si>
    <t>ACT MOTOR DC-Motor bürstenlos, 24 V, 52 W, 16,5 Ncm | DC-Motoren günstig kaufen | reichelt elektronik</t>
  </si>
  <si>
    <t>d:\Users\Desktop\57BL03-1æ−•æœ¯è§—æ€¼ä¹¦.exb</t>
  </si>
  <si>
    <t>45BLW21 Wires 45BLW - wires | Delta Line</t>
  </si>
  <si>
    <t>https://www.delta-line.com/filedlw.php?id=684</t>
  </si>
  <si>
    <t>https://orbex-group.s3.amazonaws.com/pdfs/flat-motors/EC4527.pdf</t>
  </si>
  <si>
    <t>70 W</t>
  </si>
  <si>
    <t>66W</t>
  </si>
  <si>
    <t>BLDC-Motor Außenläufer Typ BL43 | PowerTronic</t>
  </si>
  <si>
    <t>Typ-BL43-2023-03-27.pdf</t>
  </si>
  <si>
    <t>&gt;= 50W</t>
  </si>
  <si>
    <t>Bestelliste</t>
  </si>
  <si>
    <t>höherer Strom im Arbeitspunkt</t>
  </si>
  <si>
    <t>24V statt 48V</t>
  </si>
  <si>
    <t>kleinerer Widerstand zwischen den Phasen durch 24V betrieb</t>
  </si>
  <si>
    <t>höhere Leerlaufströme durch 24V Betrieb</t>
  </si>
  <si>
    <t>evtl. unruiger Lauf durch geringe Polpaarzahl</t>
  </si>
  <si>
    <t>156.25</t>
  </si>
  <si>
    <t>Minimum</t>
  </si>
  <si>
    <t>Maximum</t>
  </si>
  <si>
    <t>"Ausreißer"</t>
  </si>
  <si>
    <t>keine Angabe</t>
  </si>
  <si>
    <t>EC4527 Flat Brushless DC Motor - Orbex Group</t>
  </si>
  <si>
    <t xml:space="preserve"> </t>
  </si>
  <si>
    <t>Preis (netto)</t>
  </si>
  <si>
    <t>geschäzt laut Gemini</t>
  </si>
  <si>
    <t>Orbex Motorkörper zu lang!</t>
  </si>
  <si>
    <t>Orbex extremkurze Welle!</t>
  </si>
  <si>
    <t>kleinere Induktivität =&gt; kleinerer Blindwiderstand zwischen den Phasen durch 24V betrieb benötigt</t>
  </si>
  <si>
    <t>4221G024BXT R | Faulhaber 4221 Servomotor, 127 mNm, 24V, 4180U/min, 100 W, 0.12 Nm, 5 mm, B. 42mm, T. 47 mm, L. 34.2 mm, L. 11.5 mm | RS</t>
  </si>
  <si>
    <t xml:space="preserve">Orbex </t>
  </si>
  <si>
    <t>Gründe f. Ausscheiden</t>
  </si>
  <si>
    <t>5er Welle / 16er Kragen</t>
  </si>
  <si>
    <t>(16er Kragen)</t>
  </si>
  <si>
    <t>16er Kragen</t>
  </si>
  <si>
    <t>zu groß</t>
  </si>
  <si>
    <t>Ausschlusskriterien</t>
  </si>
  <si>
    <t>Motorkörper zu lang</t>
  </si>
  <si>
    <t>Gesammtpreis (netto)</t>
  </si>
  <si>
    <t>DE-286-2020.pdf</t>
  </si>
  <si>
    <t>Steigung der n/M-Kennlinie</t>
  </si>
  <si>
    <t>Onlineshop</t>
  </si>
  <si>
    <t>6er Welle / 16er Kragen</t>
  </si>
  <si>
    <t>Faulhaber (48V)</t>
  </si>
  <si>
    <t>Orbex (48V)</t>
  </si>
  <si>
    <t>4221G048BXT R</t>
  </si>
  <si>
    <t>resultierende Stützenläge</t>
  </si>
  <si>
    <t xml:space="preserve">Länge NSE-E mini Flansch über Getriebe </t>
  </si>
  <si>
    <t>Überstand Zentrierring</t>
  </si>
  <si>
    <t>Materalstärke "Boden"</t>
  </si>
  <si>
    <t>Bestellt</t>
  </si>
  <si>
    <t>Leerlaufwerte:</t>
  </si>
  <si>
    <t>Nennwerte:</t>
  </si>
  <si>
    <t>Anschlusswerte:</t>
  </si>
  <si>
    <t>Konstanten:</t>
  </si>
  <si>
    <t>Temperaturen:</t>
  </si>
  <si>
    <t>Bauraum:</t>
  </si>
  <si>
    <t>Hilfsgrößen: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</si>
</sst>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[$-F400]h:mm:ss\ AM/PM"/>
  </numFmts>
  <fonts count="1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3" tint="0.499984740745262"/>
      <name val="Calibri"/>
      <family val="2"/>
    </font>
    <font>
      <sz val="11"/>
      <color theme="0" tint="-0.34998626667073579"/>
      <name val="Calibri"/>
      <family val="2"/>
    </font>
    <font>
      <sz val="11"/>
      <name val="Calibri"/>
      <family val="2"/>
    </font>
    <font>
      <sz val="11"/>
      <color theme="0" tint="-0.249977111117893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1"/>
      <color theme="4" tint="0.59999389629810485"/>
      <name val="Calibri"/>
      <family val="2"/>
    </font>
    <font>
      <sz val="11"/>
      <color rgb="FFFF9999"/>
      <name val="Calibri"/>
      <family val="2"/>
    </font>
    <font>
      <sz val="8"/>
      <name val="Calibri"/>
      <family val="2"/>
    </font>
    <font>
      <b/>
      <sz val="11"/>
      <color theme="3" tint="0.499984740745262"/>
      <name val="Calibri"/>
      <family val="2"/>
    </font>
    <font>
      <b/>
      <sz val="12"/>
      <color theme="3" tint="0.49998474074526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 tint="-0.149998474074526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1"/>
    <xf numFmtId="164" fontId="1" fillId="0" borderId="0" xfId="0" applyNumberFormat="1" applyFont="1"/>
    <xf numFmtId="0" fontId="1" fillId="0" borderId="0" xfId="0" applyFont="1" applyAlignment="1">
      <alignment horizontal="left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right"/>
    </xf>
    <xf numFmtId="165" fontId="0" fillId="0" borderId="0" xfId="0" applyNumberFormat="1"/>
    <xf numFmtId="16" fontId="0" fillId="0" borderId="0" xfId="0" applyNumberFormat="1" applyAlignment="1">
      <alignment horizontal="right"/>
    </xf>
    <xf numFmtId="2" fontId="4" fillId="0" borderId="0" xfId="0" applyNumberFormat="1" applyFont="1"/>
    <xf numFmtId="2" fontId="6" fillId="0" borderId="0" xfId="0" applyNumberFormat="1" applyFont="1"/>
    <xf numFmtId="0" fontId="6" fillId="0" borderId="0" xfId="0" applyFont="1"/>
    <xf numFmtId="0" fontId="4" fillId="0" borderId="0" xfId="0" applyFont="1"/>
    <xf numFmtId="0" fontId="7" fillId="0" borderId="0" xfId="0" applyFont="1"/>
    <xf numFmtId="2" fontId="7" fillId="0" borderId="0" xfId="0" applyNumberFormat="1" applyFont="1"/>
    <xf numFmtId="2" fontId="7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/>
    <xf numFmtId="0" fontId="8" fillId="0" borderId="0" xfId="0" applyFont="1"/>
    <xf numFmtId="0" fontId="0" fillId="2" borderId="0" xfId="0" applyFill="1"/>
    <xf numFmtId="0" fontId="9" fillId="0" borderId="0" xfId="0" applyFont="1"/>
    <xf numFmtId="0" fontId="10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21" fontId="0" fillId="0" borderId="0" xfId="0" applyNumberFormat="1"/>
    <xf numFmtId="0" fontId="8" fillId="0" borderId="0" xfId="0" applyFont="1" applyAlignment="1">
      <alignment horizontal="left"/>
    </xf>
    <xf numFmtId="21" fontId="8" fillId="0" borderId="0" xfId="0" applyNumberFormat="1" applyFont="1"/>
    <xf numFmtId="21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11" fillId="0" borderId="0" xfId="0" applyNumberFormat="1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7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8" fillId="0" borderId="0" xfId="0" applyNumberFormat="1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1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2" fontId="11" fillId="0" borderId="2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11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/>
    <xf numFmtId="0" fontId="11" fillId="0" borderId="0" xfId="0" applyFont="1" applyAlignment="1">
      <alignment horizontal="left" vertical="center"/>
    </xf>
    <xf numFmtId="0" fontId="2" fillId="0" borderId="0" xfId="0" applyFont="1"/>
    <xf numFmtId="0" fontId="11" fillId="0" borderId="0" xfId="0" applyFont="1" applyAlignment="1">
      <alignment horizontal="right"/>
    </xf>
    <xf numFmtId="2" fontId="8" fillId="5" borderId="0" xfId="0" applyNumberFormat="1" applyFont="1" applyFill="1"/>
    <xf numFmtId="2" fontId="11" fillId="6" borderId="0" xfId="0" applyNumberFormat="1" applyFont="1" applyFill="1" applyAlignment="1">
      <alignment horizontal="right"/>
    </xf>
    <xf numFmtId="2" fontId="8" fillId="6" borderId="0" xfId="0" applyNumberFormat="1" applyFont="1" applyFill="1"/>
    <xf numFmtId="2" fontId="11" fillId="7" borderId="0" xfId="0" applyNumberFormat="1" applyFont="1" applyFill="1" applyAlignment="1">
      <alignment horizontal="right"/>
    </xf>
    <xf numFmtId="2" fontId="8" fillId="7" borderId="0" xfId="0" applyNumberFormat="1" applyFont="1" applyFill="1"/>
    <xf numFmtId="0" fontId="0" fillId="5" borderId="0" xfId="0" applyFill="1"/>
    <xf numFmtId="2" fontId="11" fillId="5" borderId="1" xfId="0" applyNumberFormat="1" applyFont="1" applyFill="1" applyBorder="1" applyAlignment="1">
      <alignment horizontal="right"/>
    </xf>
    <xf numFmtId="2" fontId="11" fillId="7" borderId="1" xfId="0" applyNumberFormat="1" applyFont="1" applyFill="1" applyBorder="1" applyAlignment="1">
      <alignment horizontal="right"/>
    </xf>
    <xf numFmtId="0" fontId="0" fillId="7" borderId="0" xfId="0" applyFill="1"/>
    <xf numFmtId="0" fontId="0" fillId="6" borderId="0" xfId="0" applyFill="1"/>
    <xf numFmtId="0" fontId="8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2" fontId="11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0" applyNumberFormat="1" applyFont="1"/>
    <xf numFmtId="2" fontId="8" fillId="8" borderId="0" xfId="0" applyNumberFormat="1" applyFont="1" applyFill="1"/>
    <xf numFmtId="2" fontId="11" fillId="0" borderId="1" xfId="0" applyNumberFormat="1" applyFont="1" applyBorder="1" applyAlignment="1">
      <alignment horizontal="left"/>
    </xf>
    <xf numFmtId="0" fontId="0" fillId="8" borderId="0" xfId="0" applyFill="1"/>
    <xf numFmtId="2" fontId="11" fillId="8" borderId="0" xfId="0" applyNumberFormat="1" applyFont="1" applyFill="1" applyAlignment="1">
      <alignment horizontal="right"/>
    </xf>
    <xf numFmtId="164" fontId="7" fillId="0" borderId="0" xfId="0" applyNumberFormat="1" applyFont="1"/>
    <xf numFmtId="0" fontId="5" fillId="0" borderId="0" xfId="0" applyFont="1"/>
    <xf numFmtId="164" fontId="5" fillId="0" borderId="0" xfId="0" applyNumberFormat="1" applyFont="1"/>
    <xf numFmtId="2" fontId="13" fillId="0" borderId="0" xfId="0" applyNumberFormat="1" applyFont="1"/>
    <xf numFmtId="2" fontId="14" fillId="0" borderId="0" xfId="0" applyNumberFormat="1" applyFont="1"/>
    <xf numFmtId="0" fontId="0" fillId="9" borderId="0" xfId="0" applyFill="1"/>
    <xf numFmtId="0" fontId="8" fillId="9" borderId="0" xfId="0" applyFont="1" applyFill="1"/>
    <xf numFmtId="2" fontId="0" fillId="9" borderId="0" xfId="0" applyNumberFormat="1" applyFill="1"/>
    <xf numFmtId="2" fontId="3" fillId="0" borderId="0" xfId="1" applyNumberFormat="1"/>
    <xf numFmtId="2" fontId="8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99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26</xdr:row>
      <xdr:rowOff>23812</xdr:rowOff>
    </xdr:from>
    <xdr:ext cx="65" cy="172227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B8A1334E-2551-4CD3-9707-CCFF9C7D7298}"/>
            </a:ext>
          </a:extLst>
        </xdr:cNvPr>
        <xdr:cNvSpPr txBox="1"/>
      </xdr:nvSpPr>
      <xdr:spPr>
        <a:xfrm>
          <a:off x="4029075" y="51863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2</xdr:col>
      <xdr:colOff>514350</xdr:colOff>
      <xdr:row>28</xdr:row>
      <xdr:rowOff>42862</xdr:rowOff>
    </xdr:from>
    <xdr:ext cx="412421" cy="18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AADA0808-98A4-4EDF-909A-01B8159EECC0}"/>
                </a:ext>
              </a:extLst>
            </xdr:cNvPr>
            <xdr:cNvSpPr txBox="1"/>
          </xdr:nvSpPr>
          <xdr:spPr>
            <a:xfrm>
              <a:off x="3533775" y="48815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AADA0808-98A4-4EDF-909A-01B8159EECC0}"/>
                </a:ext>
              </a:extLst>
            </xdr:cNvPr>
            <xdr:cNvSpPr txBox="1"/>
          </xdr:nvSpPr>
          <xdr:spPr>
            <a:xfrm>
              <a:off x="3533775" y="48815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333375</xdr:colOff>
      <xdr:row>38</xdr:row>
      <xdr:rowOff>23812</xdr:rowOff>
    </xdr:from>
    <xdr:ext cx="574837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C8DC7A2E-E101-4F64-B198-1E84733FF66C}"/>
                </a:ext>
              </a:extLst>
            </xdr:cNvPr>
            <xdr:cNvSpPr txBox="1"/>
          </xdr:nvSpPr>
          <xdr:spPr>
            <a:xfrm>
              <a:off x="3838575" y="7567612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C8DC7A2E-E101-4F64-B198-1E84733FF66C}"/>
                </a:ext>
              </a:extLst>
            </xdr:cNvPr>
            <xdr:cNvSpPr txBox="1"/>
          </xdr:nvSpPr>
          <xdr:spPr>
            <a:xfrm>
              <a:off x="3838575" y="7567612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〖𝑚𝑖𝑛〗^(−1)/𝑉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133350</xdr:colOff>
      <xdr:row>39</xdr:row>
      <xdr:rowOff>52387</xdr:rowOff>
    </xdr:from>
    <xdr:ext cx="794256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2F2A16BC-0383-4485-95FE-792BA26DF221}"/>
                </a:ext>
              </a:extLst>
            </xdr:cNvPr>
            <xdr:cNvSpPr txBox="1"/>
          </xdr:nvSpPr>
          <xdr:spPr>
            <a:xfrm>
              <a:off x="3152775" y="69865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de-DE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𝑚𝑖𝑛</m:t>
                      </m:r>
                    </m:e>
                    <m:sup>
                      <m:r>
                        <a:rPr lang="de-DE" sz="11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p>
                  <m:r>
                    <a:rPr lang="de-DE" sz="11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de-DE" sz="1100"/>
                <a:t> mNm</a:t>
              </a:r>
            </a:p>
          </xdr:txBody>
        </xdr:sp>
      </mc:Choice>
      <mc:Fallback xmlns="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2F2A16BC-0383-4485-95FE-792BA26DF221}"/>
                </a:ext>
              </a:extLst>
            </xdr:cNvPr>
            <xdr:cNvSpPr txBox="1"/>
          </xdr:nvSpPr>
          <xdr:spPr>
            <a:xfrm>
              <a:off x="3152775" y="69865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𝑚𝑖𝑛〗^(−1)/</a:t>
              </a:r>
              <a:r>
                <a:rPr lang="de-DE" sz="1100"/>
                <a:t> mNm</a:t>
              </a:r>
            </a:p>
          </xdr:txBody>
        </xdr:sp>
      </mc:Fallback>
    </mc:AlternateContent>
    <xdr:clientData/>
  </xdr:oneCellAnchor>
  <xdr:oneCellAnchor>
    <xdr:from>
      <xdr:col>2</xdr:col>
      <xdr:colOff>561975</xdr:colOff>
      <xdr:row>41</xdr:row>
      <xdr:rowOff>23812</xdr:rowOff>
    </xdr:from>
    <xdr:ext cx="363625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F8A2CCDB-8F4E-405E-873F-48A53931FF8D}"/>
                </a:ext>
              </a:extLst>
            </xdr:cNvPr>
            <xdr:cNvSpPr txBox="1"/>
          </xdr:nvSpPr>
          <xdr:spPr>
            <a:xfrm>
              <a:off x="4067175" y="814863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𝑔𝑐𝑚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F8A2CCDB-8F4E-405E-873F-48A53931FF8D}"/>
                </a:ext>
              </a:extLst>
            </xdr:cNvPr>
            <xdr:cNvSpPr txBox="1"/>
          </xdr:nvSpPr>
          <xdr:spPr>
            <a:xfrm>
              <a:off x="4067175" y="814863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〖𝑔𝑐𝑚〗^2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50</xdr:row>
      <xdr:rowOff>33337</xdr:rowOff>
    </xdr:from>
    <xdr:ext cx="412934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A82FBB63-CF63-4E76-AE8F-AE3937C23686}"/>
                </a:ext>
              </a:extLst>
            </xdr:cNvPr>
            <xdr:cNvSpPr txBox="1"/>
          </xdr:nvSpPr>
          <xdr:spPr>
            <a:xfrm>
              <a:off x="3533775" y="9063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A82FBB63-CF63-4E76-AE8F-AE3937C23686}"/>
                </a:ext>
              </a:extLst>
            </xdr:cNvPr>
            <xdr:cNvSpPr txBox="1"/>
          </xdr:nvSpPr>
          <xdr:spPr>
            <a:xfrm>
              <a:off x="3533775" y="9063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19</xdr:row>
      <xdr:rowOff>42862</xdr:rowOff>
    </xdr:from>
    <xdr:ext cx="412934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7156B8EA-C7E7-82DF-D695-0946902A2E41}"/>
                </a:ext>
              </a:extLst>
            </xdr:cNvPr>
            <xdr:cNvSpPr txBox="1"/>
          </xdr:nvSpPr>
          <xdr:spPr>
            <a:xfrm>
              <a:off x="2857500" y="1643062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7156B8EA-C7E7-82DF-D695-0946902A2E41}"/>
                </a:ext>
              </a:extLst>
            </xdr:cNvPr>
            <xdr:cNvSpPr txBox="1"/>
          </xdr:nvSpPr>
          <xdr:spPr>
            <a:xfrm>
              <a:off x="2857500" y="1643062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25</xdr:row>
      <xdr:rowOff>42862</xdr:rowOff>
    </xdr:from>
    <xdr:ext cx="412421" cy="18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18206A2E-8E99-FE00-5A48-83438ABDF1EF}"/>
                </a:ext>
              </a:extLst>
            </xdr:cNvPr>
            <xdr:cNvSpPr txBox="1"/>
          </xdr:nvSpPr>
          <xdr:spPr>
            <a:xfrm>
              <a:off x="2847975" y="24050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18206A2E-8E99-FE00-5A48-83438ABDF1EF}"/>
                </a:ext>
              </a:extLst>
            </xdr:cNvPr>
            <xdr:cNvSpPr txBox="1"/>
          </xdr:nvSpPr>
          <xdr:spPr>
            <a:xfrm>
              <a:off x="2847975" y="24050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361950</xdr:colOff>
      <xdr:row>35</xdr:row>
      <xdr:rowOff>52387</xdr:rowOff>
    </xdr:from>
    <xdr:ext cx="574837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0903CE30-D442-E86D-62B9-9E5653C8AF90}"/>
                </a:ext>
              </a:extLst>
            </xdr:cNvPr>
            <xdr:cNvSpPr txBox="1"/>
          </xdr:nvSpPr>
          <xdr:spPr>
            <a:xfrm>
              <a:off x="2695575" y="4319587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0903CE30-D442-E86D-62B9-9E5653C8AF90}"/>
                </a:ext>
              </a:extLst>
            </xdr:cNvPr>
            <xdr:cNvSpPr txBox="1"/>
          </xdr:nvSpPr>
          <xdr:spPr>
            <a:xfrm>
              <a:off x="2695575" y="4319587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〖𝑚𝑖𝑛〗^(−1)/𝑉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133350</xdr:colOff>
      <xdr:row>36</xdr:row>
      <xdr:rowOff>52387</xdr:rowOff>
    </xdr:from>
    <xdr:ext cx="794256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3684FA7E-E140-34D6-46E4-FC3BD2B49AC8}"/>
                </a:ext>
              </a:extLst>
            </xdr:cNvPr>
            <xdr:cNvSpPr txBox="1"/>
          </xdr:nvSpPr>
          <xdr:spPr>
            <a:xfrm>
              <a:off x="2466975" y="45100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de-DE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𝑚𝑖𝑛</m:t>
                      </m:r>
                    </m:e>
                    <m:sup>
                      <m:r>
                        <a:rPr lang="de-DE" sz="11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p>
                  <m:r>
                    <a:rPr lang="de-DE" sz="11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de-DE" sz="1100"/>
                <a:t> mNm</a:t>
              </a:r>
            </a:p>
          </xdr:txBody>
        </xdr:sp>
      </mc:Choice>
      <mc:Fallback xmlns="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3684FA7E-E140-34D6-46E4-FC3BD2B49AC8}"/>
                </a:ext>
              </a:extLst>
            </xdr:cNvPr>
            <xdr:cNvSpPr txBox="1"/>
          </xdr:nvSpPr>
          <xdr:spPr>
            <a:xfrm>
              <a:off x="2466975" y="45100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𝑚𝑖𝑛〗^(−1)/</a:t>
              </a:r>
              <a:r>
                <a:rPr lang="de-DE" sz="1100"/>
                <a:t> mNm</a:t>
              </a:r>
            </a:p>
          </xdr:txBody>
        </xdr:sp>
      </mc:Fallback>
    </mc:AlternateContent>
    <xdr:clientData/>
  </xdr:oneCellAnchor>
  <xdr:oneCellAnchor>
    <xdr:from>
      <xdr:col>2</xdr:col>
      <xdr:colOff>581025</xdr:colOff>
      <xdr:row>38</xdr:row>
      <xdr:rowOff>14287</xdr:rowOff>
    </xdr:from>
    <xdr:ext cx="363625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1D26036A-348E-A778-ADB3-60C998BC482E}"/>
                </a:ext>
              </a:extLst>
            </xdr:cNvPr>
            <xdr:cNvSpPr txBox="1"/>
          </xdr:nvSpPr>
          <xdr:spPr>
            <a:xfrm>
              <a:off x="2914650" y="485298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𝑔𝑐𝑚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1D26036A-348E-A778-ADB3-60C998BC482E}"/>
                </a:ext>
              </a:extLst>
            </xdr:cNvPr>
            <xdr:cNvSpPr txBox="1"/>
          </xdr:nvSpPr>
          <xdr:spPr>
            <a:xfrm>
              <a:off x="2914650" y="485298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〖𝑔𝑐𝑚〗^2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46</xdr:row>
      <xdr:rowOff>33337</xdr:rowOff>
    </xdr:from>
    <xdr:ext cx="412934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598534F0-4E28-96BA-2349-EA0FF1BD4DCF}"/>
                </a:ext>
              </a:extLst>
            </xdr:cNvPr>
            <xdr:cNvSpPr txBox="1"/>
          </xdr:nvSpPr>
          <xdr:spPr>
            <a:xfrm>
              <a:off x="3228975" y="6396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598534F0-4E28-96BA-2349-EA0FF1BD4DCF}"/>
                </a:ext>
              </a:extLst>
            </xdr:cNvPr>
            <xdr:cNvSpPr txBox="1"/>
          </xdr:nvSpPr>
          <xdr:spPr>
            <a:xfrm>
              <a:off x="3228975" y="6396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14</xdr:col>
      <xdr:colOff>342900</xdr:colOff>
      <xdr:row>35</xdr:row>
      <xdr:rowOff>42862</xdr:rowOff>
    </xdr:from>
    <xdr:ext cx="1920847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feld 7">
              <a:extLst>
                <a:ext uri="{FF2B5EF4-FFF2-40B4-BE49-F238E27FC236}">
                  <a16:creationId xmlns:a16="http://schemas.microsoft.com/office/drawing/2014/main" id="{4B8524AD-E18B-FB4B-D394-AE5E2EC5DB0D}"/>
                </a:ext>
              </a:extLst>
            </xdr:cNvPr>
            <xdr:cNvSpPr txBox="1"/>
          </xdr:nvSpPr>
          <xdr:spPr>
            <a:xfrm>
              <a:off x="13477875" y="6215062"/>
              <a:ext cx="192084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253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𝑏𝑖𝑠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1000</m:t>
                        </m:r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8" name="Textfeld 7">
              <a:extLst>
                <a:ext uri="{FF2B5EF4-FFF2-40B4-BE49-F238E27FC236}">
                  <a16:creationId xmlns:a16="http://schemas.microsoft.com/office/drawing/2014/main" id="{4B8524AD-E18B-FB4B-D394-AE5E2EC5DB0D}"/>
                </a:ext>
              </a:extLst>
            </xdr:cNvPr>
            <xdr:cNvSpPr txBox="1"/>
          </xdr:nvSpPr>
          <xdr:spPr>
            <a:xfrm>
              <a:off x="13477875" y="6215062"/>
              <a:ext cx="192084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253𝑚𝑖𝑛〗^(−1)/𝑉 𝑏𝑖𝑠 〖1000𝑚𝑖𝑛〗^(−1)/𝑉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14</xdr:col>
      <xdr:colOff>600075</xdr:colOff>
      <xdr:row>36</xdr:row>
      <xdr:rowOff>23812</xdr:rowOff>
    </xdr:from>
    <xdr:ext cx="1683987" cy="18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feld 8">
              <a:extLst>
                <a:ext uri="{FF2B5EF4-FFF2-40B4-BE49-F238E27FC236}">
                  <a16:creationId xmlns:a16="http://schemas.microsoft.com/office/drawing/2014/main" id="{62ECB2EE-9469-643F-4480-F2052769DF11}"/>
                </a:ext>
              </a:extLst>
            </xdr:cNvPr>
            <xdr:cNvSpPr txBox="1"/>
          </xdr:nvSpPr>
          <xdr:spPr>
            <a:xfrm>
              <a:off x="13735050" y="6386512"/>
              <a:ext cx="1683987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4,97</m:t>
                        </m:r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𝑜𝑑𝑒𝑟</m:t>
                    </m:r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p>
                      <m:sSupPr>
                        <m:ctrlP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5,31</m:t>
                        </m:r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9" name="Textfeld 8">
              <a:extLst>
                <a:ext uri="{FF2B5EF4-FFF2-40B4-BE49-F238E27FC236}">
                  <a16:creationId xmlns:a16="http://schemas.microsoft.com/office/drawing/2014/main" id="{62ECB2EE-9469-643F-4480-F2052769DF11}"/>
                </a:ext>
              </a:extLst>
            </xdr:cNvPr>
            <xdr:cNvSpPr txBox="1"/>
          </xdr:nvSpPr>
          <xdr:spPr>
            <a:xfrm>
              <a:off x="13735050" y="6386512"/>
              <a:ext cx="1683987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4,97𝑚𝑖𝑛〗^(−1)  𝑜𝑑𝑒𝑟 〖5,31𝑚𝑖𝑛〗^(−1)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14</xdr:col>
      <xdr:colOff>838200</xdr:colOff>
      <xdr:row>38</xdr:row>
      <xdr:rowOff>23812</xdr:rowOff>
    </xdr:from>
    <xdr:ext cx="1447897" cy="18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E31A5CBD-A0AC-8F25-75C8-BD87CF1F44CB}"/>
                </a:ext>
              </a:extLst>
            </xdr:cNvPr>
            <xdr:cNvSpPr txBox="1"/>
          </xdr:nvSpPr>
          <xdr:spPr>
            <a:xfrm>
              <a:off x="13973175" y="6767512"/>
              <a:ext cx="1447897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69</m:t>
                        </m:r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𝑔𝑐𝑚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𝑜𝑑𝑒𝑟</m:t>
                    </m:r>
                    <m:r>
                      <a:rPr lang="de-DE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181</m:t>
                    </m:r>
                    <m:sSup>
                      <m:sSupPr>
                        <m:ctrlP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𝑔𝑐𝑚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10" name="Textfeld 9">
              <a:extLst>
                <a:ext uri="{FF2B5EF4-FFF2-40B4-BE49-F238E27FC236}">
                  <a16:creationId xmlns:a16="http://schemas.microsoft.com/office/drawing/2014/main" id="{E31A5CBD-A0AC-8F25-75C8-BD87CF1F44CB}"/>
                </a:ext>
              </a:extLst>
            </xdr:cNvPr>
            <xdr:cNvSpPr txBox="1"/>
          </xdr:nvSpPr>
          <xdr:spPr>
            <a:xfrm>
              <a:off x="13973175" y="6767512"/>
              <a:ext cx="1447897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〖69𝑔𝑐𝑚〗^2  𝑜𝑑𝑒𝑟 181〖𝑔𝑐𝑚〗^2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14</xdr:col>
      <xdr:colOff>1476375</xdr:colOff>
      <xdr:row>46</xdr:row>
      <xdr:rowOff>42863</xdr:rowOff>
    </xdr:from>
    <xdr:ext cx="828881" cy="18573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A1215302-3139-BAD2-E265-BC30C9EE6B1D}"/>
                </a:ext>
              </a:extLst>
            </xdr:cNvPr>
            <xdr:cNvSpPr txBox="1"/>
          </xdr:nvSpPr>
          <xdr:spPr>
            <a:xfrm>
              <a:off x="14611350" y="8310563"/>
              <a:ext cx="828881" cy="18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de-DE" sz="1100" b="0" i="1">
                        <a:latin typeface="Cambria Math" panose="02040503050406030204" pitchFamily="18" charset="0"/>
                      </a:rPr>
                      <m:t>10000</m:t>
                    </m:r>
                    <m:sSup>
                      <m:sSupPr>
                        <m:ctrlPr>
                          <a:rPr lang="de-DE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>
                <a:effectLst/>
              </a:endParaRPr>
            </a:p>
            <a:p>
              <a:endParaRPr lang="de-DE" sz="1100"/>
            </a:p>
          </xdr:txBody>
        </xdr:sp>
      </mc:Choice>
      <mc:Fallback xmlns="">
        <xdr:sp macro="" textlink="">
          <xdr:nvSpPr>
            <xdr:cNvPr id="11" name="Textfeld 10">
              <a:extLst>
                <a:ext uri="{FF2B5EF4-FFF2-40B4-BE49-F238E27FC236}">
                  <a16:creationId xmlns:a16="http://schemas.microsoft.com/office/drawing/2014/main" id="{A1215302-3139-BAD2-E265-BC30C9EE6B1D}"/>
                </a:ext>
              </a:extLst>
            </xdr:cNvPr>
            <xdr:cNvSpPr txBox="1"/>
          </xdr:nvSpPr>
          <xdr:spPr>
            <a:xfrm>
              <a:off x="14611350" y="8310563"/>
              <a:ext cx="828881" cy="1857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de-DE" sz="1100" b="0" i="0">
                  <a:latin typeface="Cambria Math" panose="02040503050406030204" pitchFamily="18" charset="0"/>
                </a:rPr>
                <a:t>10000</a:t>
              </a:r>
              <a:r>
                <a:rPr lang="de-D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𝑚𝑖𝑛〗^(−1)</a:t>
              </a:r>
              <a:endParaRPr lang="de-DE">
                <a:effectLst/>
              </a:endParaRPr>
            </a:p>
            <a:p>
              <a:endParaRPr lang="de-DE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523875</xdr:colOff>
      <xdr:row>19</xdr:row>
      <xdr:rowOff>42862</xdr:rowOff>
    </xdr:from>
    <xdr:ext cx="412934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B041BC2D-C1E6-44F3-BC9B-BE585252E89A}"/>
                </a:ext>
              </a:extLst>
            </xdr:cNvPr>
            <xdr:cNvSpPr txBox="1"/>
          </xdr:nvSpPr>
          <xdr:spPr>
            <a:xfrm>
              <a:off x="3543300" y="3548062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2" name="Textfeld 1">
              <a:extLst>
                <a:ext uri="{FF2B5EF4-FFF2-40B4-BE49-F238E27FC236}">
                  <a16:creationId xmlns:a16="http://schemas.microsoft.com/office/drawing/2014/main" id="{B041BC2D-C1E6-44F3-BC9B-BE585252E89A}"/>
                </a:ext>
              </a:extLst>
            </xdr:cNvPr>
            <xdr:cNvSpPr txBox="1"/>
          </xdr:nvSpPr>
          <xdr:spPr>
            <a:xfrm>
              <a:off x="3543300" y="3548062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25</xdr:row>
      <xdr:rowOff>42862</xdr:rowOff>
    </xdr:from>
    <xdr:ext cx="412421" cy="18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A3F10577-1BA7-49D6-8187-FD1748248FDF}"/>
                </a:ext>
              </a:extLst>
            </xdr:cNvPr>
            <xdr:cNvSpPr txBox="1"/>
          </xdr:nvSpPr>
          <xdr:spPr>
            <a:xfrm>
              <a:off x="3533775" y="46910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3" name="Textfeld 2">
              <a:extLst>
                <a:ext uri="{FF2B5EF4-FFF2-40B4-BE49-F238E27FC236}">
                  <a16:creationId xmlns:a16="http://schemas.microsoft.com/office/drawing/2014/main" id="{A3F10577-1BA7-49D6-8187-FD1748248FDF}"/>
                </a:ext>
              </a:extLst>
            </xdr:cNvPr>
            <xdr:cNvSpPr txBox="1"/>
          </xdr:nvSpPr>
          <xdr:spPr>
            <a:xfrm>
              <a:off x="3533775" y="4691062"/>
              <a:ext cx="412421" cy="1815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de-DE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361950</xdr:colOff>
      <xdr:row>35</xdr:row>
      <xdr:rowOff>52387</xdr:rowOff>
    </xdr:from>
    <xdr:ext cx="574837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A28282E1-83E4-4658-BB9B-7DDDA8FB1B25}"/>
                </a:ext>
              </a:extLst>
            </xdr:cNvPr>
            <xdr:cNvSpPr txBox="1"/>
          </xdr:nvSpPr>
          <xdr:spPr>
            <a:xfrm>
              <a:off x="3381375" y="6605587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  <m:r>
                      <a:rPr lang="de-DE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de-DE" sz="1100" b="0" i="1">
                        <a:latin typeface="Cambria Math" panose="02040503050406030204" pitchFamily="18" charset="0"/>
                      </a:rPr>
                      <m:t>𝑉</m:t>
                    </m:r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4" name="Textfeld 3">
              <a:extLst>
                <a:ext uri="{FF2B5EF4-FFF2-40B4-BE49-F238E27FC236}">
                  <a16:creationId xmlns:a16="http://schemas.microsoft.com/office/drawing/2014/main" id="{A28282E1-83E4-4658-BB9B-7DDDA8FB1B25}"/>
                </a:ext>
              </a:extLst>
            </xdr:cNvPr>
            <xdr:cNvSpPr txBox="1"/>
          </xdr:nvSpPr>
          <xdr:spPr>
            <a:xfrm>
              <a:off x="3381375" y="6605587"/>
              <a:ext cx="574837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〖𝑚𝑖𝑛〗^(−1)/𝑉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133350</xdr:colOff>
      <xdr:row>36</xdr:row>
      <xdr:rowOff>52387</xdr:rowOff>
    </xdr:from>
    <xdr:ext cx="794256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67F8675C-BDE1-4EA9-A5AC-F641FAFDAAD1}"/>
                </a:ext>
              </a:extLst>
            </xdr:cNvPr>
            <xdr:cNvSpPr txBox="1"/>
          </xdr:nvSpPr>
          <xdr:spPr>
            <a:xfrm>
              <a:off x="3152775" y="67960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de-DE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de-DE" sz="1100" b="0" i="1">
                          <a:latin typeface="Cambria Math" panose="02040503050406030204" pitchFamily="18" charset="0"/>
                        </a:rPr>
                        <m:t>𝑚𝑖𝑛</m:t>
                      </m:r>
                    </m:e>
                    <m:sup>
                      <m:r>
                        <a:rPr lang="de-DE" sz="11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p>
                  <m:r>
                    <a:rPr lang="de-DE" sz="1100" b="0" i="1">
                      <a:latin typeface="Cambria Math" panose="02040503050406030204" pitchFamily="18" charset="0"/>
                    </a:rPr>
                    <m:t>/</m:t>
                  </m:r>
                </m:oMath>
              </a14:m>
              <a:r>
                <a:rPr lang="de-DE" sz="1100"/>
                <a:t> mNm</a:t>
              </a:r>
            </a:p>
          </xdr:txBody>
        </xdr:sp>
      </mc:Choice>
      <mc:Fallback xmlns="">
        <xdr:sp macro="" textlink="">
          <xdr:nvSpPr>
            <xdr:cNvPr id="5" name="Textfeld 4">
              <a:extLst>
                <a:ext uri="{FF2B5EF4-FFF2-40B4-BE49-F238E27FC236}">
                  <a16:creationId xmlns:a16="http://schemas.microsoft.com/office/drawing/2014/main" id="{67F8675C-BDE1-4EA9-A5AC-F641FAFDAAD1}"/>
                </a:ext>
              </a:extLst>
            </xdr:cNvPr>
            <xdr:cNvSpPr txBox="1"/>
          </xdr:nvSpPr>
          <xdr:spPr>
            <a:xfrm>
              <a:off x="3152775" y="6796087"/>
              <a:ext cx="794256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𝑚𝑖𝑛〗^(−1)/</a:t>
              </a:r>
              <a:r>
                <a:rPr lang="de-DE" sz="1100"/>
                <a:t> mNm</a:t>
              </a:r>
            </a:p>
          </xdr:txBody>
        </xdr:sp>
      </mc:Fallback>
    </mc:AlternateContent>
    <xdr:clientData/>
  </xdr:oneCellAnchor>
  <xdr:oneCellAnchor>
    <xdr:from>
      <xdr:col>2</xdr:col>
      <xdr:colOff>581025</xdr:colOff>
      <xdr:row>38</xdr:row>
      <xdr:rowOff>14287</xdr:rowOff>
    </xdr:from>
    <xdr:ext cx="363625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EB93873C-D5BE-4F6B-A78B-2A66284DDF94}"/>
                </a:ext>
              </a:extLst>
            </xdr:cNvPr>
            <xdr:cNvSpPr txBox="1"/>
          </xdr:nvSpPr>
          <xdr:spPr>
            <a:xfrm>
              <a:off x="3600450" y="713898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𝑔𝑐𝑚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6" name="Textfeld 5">
              <a:extLst>
                <a:ext uri="{FF2B5EF4-FFF2-40B4-BE49-F238E27FC236}">
                  <a16:creationId xmlns:a16="http://schemas.microsoft.com/office/drawing/2014/main" id="{EB93873C-D5BE-4F6B-A78B-2A66284DDF94}"/>
                </a:ext>
              </a:extLst>
            </xdr:cNvPr>
            <xdr:cNvSpPr txBox="1"/>
          </xdr:nvSpPr>
          <xdr:spPr>
            <a:xfrm>
              <a:off x="3600450" y="7138987"/>
              <a:ext cx="363625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b="0" i="0">
                  <a:latin typeface="Cambria Math" panose="02040503050406030204" pitchFamily="18" charset="0"/>
                </a:rPr>
                <a:t>〖𝑔𝑐𝑚〗^2</a:t>
              </a:r>
              <a:endParaRPr lang="de-DE" sz="1100"/>
            </a:p>
          </xdr:txBody>
        </xdr:sp>
      </mc:Fallback>
    </mc:AlternateContent>
    <xdr:clientData/>
  </xdr:oneCellAnchor>
  <xdr:oneCellAnchor>
    <xdr:from>
      <xdr:col>2</xdr:col>
      <xdr:colOff>514350</xdr:colOff>
      <xdr:row>47</xdr:row>
      <xdr:rowOff>33337</xdr:rowOff>
    </xdr:from>
    <xdr:ext cx="412934" cy="1768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FC49ED89-523B-4F2D-9CE6-0972DB02E71E}"/>
                </a:ext>
              </a:extLst>
            </xdr:cNvPr>
            <xdr:cNvSpPr txBox="1"/>
          </xdr:nvSpPr>
          <xdr:spPr>
            <a:xfrm>
              <a:off x="3533775" y="8682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de-DE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e>
                      <m:sup>
                        <m:r>
                          <a:rPr lang="de-DE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de-DE" sz="1100"/>
            </a:p>
          </xdr:txBody>
        </xdr:sp>
      </mc:Choice>
      <mc:Fallback xmlns=""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FC49ED89-523B-4F2D-9CE6-0972DB02E71E}"/>
                </a:ext>
              </a:extLst>
            </xdr:cNvPr>
            <xdr:cNvSpPr txBox="1"/>
          </xdr:nvSpPr>
          <xdr:spPr>
            <a:xfrm>
              <a:off x="3533775" y="8682037"/>
              <a:ext cx="412934" cy="1768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de-DE" sz="1100" i="0">
                  <a:latin typeface="Cambria Math" panose="02040503050406030204" pitchFamily="18" charset="0"/>
                </a:rPr>
                <a:t>〖</a:t>
              </a:r>
              <a:r>
                <a:rPr lang="de-DE" sz="1100" b="0" i="0">
                  <a:latin typeface="Cambria Math" panose="02040503050406030204" pitchFamily="18" charset="0"/>
                </a:rPr>
                <a:t>𝑚𝑖𝑛〗^(−1)</a:t>
              </a:r>
              <a:endParaRPr lang="de-DE" sz="1100"/>
            </a:p>
          </xdr:txBody>
        </xdr:sp>
      </mc:Fallback>
    </mc:AlternateContent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lta-line.com/filedlw.php?id=3641" TargetMode="External"/><Relationship Id="rId13" Type="http://schemas.openxmlformats.org/officeDocument/2006/relationships/hyperlink" Target="https://eshop.faulhaber.com/media/31/a0/f4/1775629961/DE_4221_BXTH_DFF.pdf" TargetMode="External"/><Relationship Id="rId18" Type="http://schemas.openxmlformats.org/officeDocument/2006/relationships/hyperlink" Target="https://www.power-tronic.com/wp-content/uploads/2024/07/Typ-BL42-66H-2023-12-07.pdf" TargetMode="External"/><Relationship Id="rId26" Type="http://schemas.openxmlformats.org/officeDocument/2006/relationships/hyperlink" Target="https://orbexgroup.com/product/ec4527-flat-brushless-dc-motor/" TargetMode="External"/><Relationship Id="rId3" Type="http://schemas.openxmlformats.org/officeDocument/2006/relationships/hyperlink" Target="https://orbexgroup.com/product/ec4527-flat-brushless-dc-motor/" TargetMode="External"/><Relationship Id="rId21" Type="http://schemas.openxmlformats.org/officeDocument/2006/relationships/hyperlink" Target="https://www.servonaut.de/shop/de/product_info.php?info=p726_motor-tm72.html" TargetMode="External"/><Relationship Id="rId7" Type="http://schemas.openxmlformats.org/officeDocument/2006/relationships/hyperlink" Target="https://www.delta-line.com/cat.pag/categoria-czk452kzpsxzk.html" TargetMode="External"/><Relationship Id="rId12" Type="http://schemas.openxmlformats.org/officeDocument/2006/relationships/hyperlink" Target="https://eshop.faulhaber.com/media/11/32/64/1775629963/DE_4221_BXTR_DFF.pdf" TargetMode="External"/><Relationship Id="rId17" Type="http://schemas.openxmlformats.org/officeDocument/2006/relationships/hyperlink" Target="https://www.power-tronic.com/produkte/bldc-motoren/motoren-ohne-getriebe/bl42-66h/" TargetMode="External"/><Relationship Id="rId25" Type="http://schemas.openxmlformats.org/officeDocument/2006/relationships/hyperlink" Target="https://www.delta-line.com/filedlw.php?id=684" TargetMode="External"/><Relationship Id="rId2" Type="http://schemas.openxmlformats.org/officeDocument/2006/relationships/hyperlink" Target="https://www.nanotec.com/eu/de/produkte/10873-df45l024048-e" TargetMode="External"/><Relationship Id="rId16" Type="http://schemas.openxmlformats.org/officeDocument/2006/relationships/hyperlink" Target="https://de.servotecnica.com/de/produkt/flache-bldc-motoren/" TargetMode="External"/><Relationship Id="rId20" Type="http://schemas.openxmlformats.org/officeDocument/2006/relationships/hyperlink" Target="https://www.maxongroup.de/maxon/view/product/motor/ecmotor/ecflat/ecflat45/651610" TargetMode="External"/><Relationship Id="rId29" Type="http://schemas.openxmlformats.org/officeDocument/2006/relationships/hyperlink" Target="https://de.servotecnica.com/wp-content/uploads/2025/12/SVTM-F-Series.pdf" TargetMode="External"/><Relationship Id="rId1" Type="http://schemas.openxmlformats.org/officeDocument/2006/relationships/hyperlink" Target="https://www.maxongroup.de/maxon/view/product/motor/ecmotor/ecflat/ecflat45/608144" TargetMode="External"/><Relationship Id="rId6" Type="http://schemas.openxmlformats.org/officeDocument/2006/relationships/hyperlink" Target="https://orbex-group.s3.amazonaws.com/pdfs/flat-motors/EC4527.pdf" TargetMode="External"/><Relationship Id="rId11" Type="http://schemas.openxmlformats.org/officeDocument/2006/relationships/hyperlink" Target="https://eshop.faulhaber.com/de/4221G024BXTR/4221G024BXTR" TargetMode="External"/><Relationship Id="rId24" Type="http://schemas.openxmlformats.org/officeDocument/2006/relationships/hyperlink" Target="https://www.delta-line.com/a.pag/45blw21-wires--pzk3010kzczk301.html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nanotec.com/fileadmin/files/Datenblaetter/BLDC/DF45/DF45L024048-E.pdf?1662643688" TargetMode="External"/><Relationship Id="rId15" Type="http://schemas.openxmlformats.org/officeDocument/2006/relationships/hyperlink" Target="https://de.servotecnica.com/wp-content/uploads/2025/12/SVTM-F-Series.pdf" TargetMode="External"/><Relationship Id="rId23" Type="http://schemas.openxmlformats.org/officeDocument/2006/relationships/hyperlink" Target="https://cdn-reichelt.de/documents/datenblatt/C300/57BL03-1.pdf" TargetMode="External"/><Relationship Id="rId28" Type="http://schemas.openxmlformats.org/officeDocument/2006/relationships/hyperlink" Target="https://de.servotecnica.com/de/produkt/flache-bldc-motoren/" TargetMode="External"/><Relationship Id="rId10" Type="http://schemas.openxmlformats.org/officeDocument/2006/relationships/hyperlink" Target="https://www.oyostepper.de/goods-685-Au%C3%9Fenl%C3%A4ufermotor-24V-4850-Umin-013-Nm-70W-36-A-3-Phasen-B%C3%BCrstenloser-DC-Getriebemotor.html" TargetMode="External"/><Relationship Id="rId19" Type="http://schemas.openxmlformats.org/officeDocument/2006/relationships/hyperlink" Target="file:///C:\Users\u020574\OneDrive%20-%20SCHUNK%20SE%20&amp;%20Co.%20KG\Documents\T1000\Daenbl%25C3%25A4tter\Datenblatt_%20Maxon_EC45flat_50W.pdf" TargetMode="External"/><Relationship Id="rId31" Type="http://schemas.openxmlformats.org/officeDocument/2006/relationships/hyperlink" Target="https://www.power-tronic.com/wp-content/uploads/2023/03/Typ-BL43-2023-03-27.pdf" TargetMode="External"/><Relationship Id="rId4" Type="http://schemas.openxmlformats.org/officeDocument/2006/relationships/hyperlink" Target="https://www.maxongroup.de/medias/sys_master/root/8839890436126/DE-290-2020.pdf" TargetMode="External"/><Relationship Id="rId9" Type="http://schemas.openxmlformats.org/officeDocument/2006/relationships/hyperlink" Target="https://eshop.faulhaber.com/de/4221G024BXTH-SC/4221G024BXTH-SC" TargetMode="External"/><Relationship Id="rId14" Type="http://schemas.openxmlformats.org/officeDocument/2006/relationships/hyperlink" Target="https://www.oyostepper.de/images/upload/File/45BLE27-24-01.pdf" TargetMode="External"/><Relationship Id="rId22" Type="http://schemas.openxmlformats.org/officeDocument/2006/relationships/hyperlink" Target="https://www.reichelt.de/de/de/shop/produkt/dc-motor_buerstenlos_24_v_52_w_16_5_ncm-271493?PROVID=2788&amp;gad_source=1&amp;gad_campaignid=21157097500&amp;gclid=EAIaIQobChMI-b-8g-S_lQMViIKDBx2iFSdUEAQYASABEgLjavD_BwE" TargetMode="External"/><Relationship Id="rId27" Type="http://schemas.openxmlformats.org/officeDocument/2006/relationships/hyperlink" Target="https://orbex-group.s3.amazonaws.com/pdfs/flat-motors/EC4527.pdf" TargetMode="External"/><Relationship Id="rId30" Type="http://schemas.openxmlformats.org/officeDocument/2006/relationships/hyperlink" Target="https://www.power-tronic.com/produkte/bldc-motoren/aussenlaeufer/bl4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xongroup.de/maxon/view/product/motor/ecmotor/ecflat/ecflat45/651610?etcc_cu=onsite&amp;etcc_med=Header%20Suche&amp;etcc_cmp=mit%20Ergebnis&amp;etcc_ctv=Layer&amp;query=65161" TargetMode="External"/><Relationship Id="rId13" Type="http://schemas.openxmlformats.org/officeDocument/2006/relationships/hyperlink" Target="https://www.reichelt.de/de/de/shop/produkt/dc-motor_buerstenlos_24_v_52_w_16_5_ncm-271493?PROVID=2788&amp;gad_source=1&amp;gad_campaignid=21157097500&amp;gclid=EAIaIQobChMI-b-8g-S_lQMViIKDBx2iFSdUEAQYASABEgLjavD_BwE" TargetMode="External"/><Relationship Id="rId18" Type="http://schemas.openxmlformats.org/officeDocument/2006/relationships/hyperlink" Target="https://orbexgroup.com/product/ec4527-flat-brushless-dc-motor/" TargetMode="External"/><Relationship Id="rId3" Type="http://schemas.openxmlformats.org/officeDocument/2006/relationships/hyperlink" Target="https://orbex-group.s3.amazonaws.com/pdfs/flat-motors/EC4527.pdf" TargetMode="External"/><Relationship Id="rId21" Type="http://schemas.openxmlformats.org/officeDocument/2006/relationships/hyperlink" Target="https://orbexgroup.com/product/ec4527-flat-brushless-dc-motor/" TargetMode="External"/><Relationship Id="rId7" Type="http://schemas.openxmlformats.org/officeDocument/2006/relationships/hyperlink" Target="https://cdn-reichelt.de/documents/datenblatt/C300/57BL03-1.pdf" TargetMode="External"/><Relationship Id="rId12" Type="http://schemas.openxmlformats.org/officeDocument/2006/relationships/hyperlink" Target="https://orbexgroup.com/product/ec4527-flat-brushless-dc-motor/" TargetMode="External"/><Relationship Id="rId17" Type="http://schemas.openxmlformats.org/officeDocument/2006/relationships/hyperlink" Target="https://eshop.faulhaber.com/de/4221G024BXTR/4221G024BXTR" TargetMode="External"/><Relationship Id="rId2" Type="http://schemas.openxmlformats.org/officeDocument/2006/relationships/hyperlink" Target="https://orbexgroup.com/product/ec4527-flat-brushless-dc-motor/" TargetMode="External"/><Relationship Id="rId16" Type="http://schemas.openxmlformats.org/officeDocument/2006/relationships/hyperlink" Target="https://eshop.faulhaber.com/media/11/32/64/1775629963/DE_4221_BXTR_DFF.pdf" TargetMode="External"/><Relationship Id="rId20" Type="http://schemas.openxmlformats.org/officeDocument/2006/relationships/hyperlink" Target="https://at.rs-online.com/web/p/servomotoren/1846937" TargetMode="External"/><Relationship Id="rId1" Type="http://schemas.openxmlformats.org/officeDocument/2006/relationships/hyperlink" Target="https://www.maxongroup.de/maxon/view/product/motor/ecmotor/ecflat/ecflat45/651613" TargetMode="External"/><Relationship Id="rId6" Type="http://schemas.openxmlformats.org/officeDocument/2006/relationships/hyperlink" Target="https://www.reichelt.de/de/de/shop/produkt/dc-motor_buerstenlos_24_v_52_w_16_5_ncm-271493?PROVID=2788&amp;gad_source=1&amp;gad_campaignid=21157097500&amp;gclid=EAIaIQobChMI-b-8g-S_lQMViIKDBx2iFSdUEAQYASABEgLjavD_BwE" TargetMode="External"/><Relationship Id="rId11" Type="http://schemas.openxmlformats.org/officeDocument/2006/relationships/hyperlink" Target="https://www.delta-line.com/a.pag/45blw21-wires--pzk3010kzczk301.html" TargetMode="External"/><Relationship Id="rId5" Type="http://schemas.openxmlformats.org/officeDocument/2006/relationships/hyperlink" Target="https://www.delta-line.com/filedlw.php?id=684" TargetMode="External"/><Relationship Id="rId15" Type="http://schemas.openxmlformats.org/officeDocument/2006/relationships/hyperlink" Target="https://eshop.faulhaber.com/de/4221G024BXTR/4221G024BXTR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https://www.maxongroup.de/medias/sys_master/root/8839889518622/DE-286-2020.pdf" TargetMode="External"/><Relationship Id="rId19" Type="http://schemas.openxmlformats.org/officeDocument/2006/relationships/hyperlink" Target="https://orbex-group.s3.amazonaws.com/pdfs/flat-motors/EC4527.pdf" TargetMode="External"/><Relationship Id="rId4" Type="http://schemas.openxmlformats.org/officeDocument/2006/relationships/hyperlink" Target="https://www.delta-line.com/a.pag/45blw21-wires--pzk3010kzczk301.html" TargetMode="External"/><Relationship Id="rId9" Type="http://schemas.openxmlformats.org/officeDocument/2006/relationships/hyperlink" Target="https://www.maxongroup.de/medias/sys_master/root/8839889518622/DE-286-2020.pdf" TargetMode="External"/><Relationship Id="rId14" Type="http://schemas.openxmlformats.org/officeDocument/2006/relationships/hyperlink" Target="https://eshop.faulhaber.com/media/11/32/64/1775629963/DE_4221_BXTR_DFF.pdf" TargetMode="External"/><Relationship Id="rId22" Type="http://schemas.openxmlformats.org/officeDocument/2006/relationships/hyperlink" Target="https://eshop.faulhaber.com/de/4221G024BXTR-6862/4221G024BXTR-686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386-D40D-4EF7-BF4F-5EE6F96CB569}">
  <dimension ref="A2:P41"/>
  <sheetViews>
    <sheetView topLeftCell="A18" workbookViewId="0">
      <selection activeCell="I28" sqref="I28"/>
    </sheetView>
  </sheetViews>
  <sheetFormatPr baseColWidth="10" defaultRowHeight="14.4" x14ac:dyDescent="0.3"/>
  <cols>
    <col min="2" max="2" width="21.6640625" customWidth="1"/>
    <col min="3" max="3" width="13" customWidth="1"/>
    <col min="4" max="4" width="17.33203125" customWidth="1"/>
    <col min="5" max="5" width="11.44140625" style="2"/>
    <col min="6" max="6" width="13.44140625" customWidth="1"/>
    <col min="7" max="7" width="13.109375" style="3" customWidth="1"/>
    <col min="9" max="9" width="15.44140625" customWidth="1"/>
    <col min="10" max="10" width="23.33203125" customWidth="1"/>
  </cols>
  <sheetData>
    <row r="2" spans="1:10" ht="21" x14ac:dyDescent="0.4">
      <c r="C2" s="92" t="s">
        <v>0</v>
      </c>
      <c r="D2" s="92"/>
      <c r="E2" s="92"/>
      <c r="F2" s="92"/>
      <c r="G2" s="92"/>
      <c r="H2" s="92"/>
      <c r="I2" s="92"/>
    </row>
    <row r="4" spans="1:10" s="1" customFormat="1" x14ac:dyDescent="0.3">
      <c r="B4" s="1" t="s">
        <v>85</v>
      </c>
      <c r="C4" s="1" t="s">
        <v>1</v>
      </c>
      <c r="D4" s="1" t="s">
        <v>2</v>
      </c>
      <c r="E4" s="5" t="s">
        <v>6</v>
      </c>
      <c r="F4" s="1" t="s">
        <v>3</v>
      </c>
      <c r="G4" s="6" t="s">
        <v>11</v>
      </c>
      <c r="H4" s="1" t="s">
        <v>19</v>
      </c>
      <c r="I4" s="1" t="s">
        <v>20</v>
      </c>
      <c r="J4" s="1" t="s">
        <v>76</v>
      </c>
    </row>
    <row r="5" spans="1:10" x14ac:dyDescent="0.3">
      <c r="B5" t="s">
        <v>70</v>
      </c>
    </row>
    <row r="6" spans="1:10" x14ac:dyDescent="0.3">
      <c r="A6" s="1" t="s">
        <v>13</v>
      </c>
      <c r="B6">
        <v>4</v>
      </c>
      <c r="C6" t="s">
        <v>4</v>
      </c>
      <c r="D6" t="s">
        <v>5</v>
      </c>
      <c r="E6" s="2">
        <v>188.42</v>
      </c>
      <c r="F6">
        <v>8</v>
      </c>
      <c r="G6" s="3" t="s">
        <v>13</v>
      </c>
      <c r="H6" s="4" t="s">
        <v>7</v>
      </c>
      <c r="I6" s="4" t="s">
        <v>21</v>
      </c>
    </row>
    <row r="8" spans="1:10" x14ac:dyDescent="0.3">
      <c r="A8" s="1" t="s">
        <v>8</v>
      </c>
      <c r="B8" s="1">
        <v>4</v>
      </c>
      <c r="C8" t="s">
        <v>9</v>
      </c>
      <c r="D8" t="s">
        <v>10</v>
      </c>
      <c r="E8" s="2">
        <v>188.9</v>
      </c>
      <c r="F8">
        <v>8</v>
      </c>
      <c r="G8" s="3" t="s">
        <v>12</v>
      </c>
      <c r="H8" s="4" t="s">
        <v>14</v>
      </c>
      <c r="I8" s="4" t="s">
        <v>10</v>
      </c>
    </row>
    <row r="9" spans="1:10" x14ac:dyDescent="0.3">
      <c r="C9" t="s">
        <v>15</v>
      </c>
      <c r="D9" t="s">
        <v>16</v>
      </c>
      <c r="E9" s="2" t="s">
        <v>30</v>
      </c>
      <c r="F9">
        <v>8</v>
      </c>
      <c r="G9" s="3" t="s">
        <v>17</v>
      </c>
      <c r="H9" s="4" t="s">
        <v>18</v>
      </c>
      <c r="I9" s="4" t="s">
        <v>22</v>
      </c>
    </row>
    <row r="10" spans="1:10" x14ac:dyDescent="0.3">
      <c r="C10" t="s">
        <v>26</v>
      </c>
      <c r="D10" t="s">
        <v>23</v>
      </c>
      <c r="E10" s="2" t="s">
        <v>30</v>
      </c>
      <c r="F10">
        <v>8</v>
      </c>
      <c r="G10" s="3" t="s">
        <v>72</v>
      </c>
      <c r="H10" s="4" t="s">
        <v>24</v>
      </c>
      <c r="I10" s="4" t="s">
        <v>25</v>
      </c>
    </row>
    <row r="11" spans="1:10" x14ac:dyDescent="0.3">
      <c r="C11" t="s">
        <v>87</v>
      </c>
      <c r="D11" t="s">
        <v>84</v>
      </c>
      <c r="E11" s="2">
        <v>121.6</v>
      </c>
      <c r="F11">
        <v>8</v>
      </c>
      <c r="G11" s="3">
        <v>70</v>
      </c>
      <c r="H11" s="4" t="s">
        <v>86</v>
      </c>
      <c r="I11" s="4" t="s">
        <v>94</v>
      </c>
    </row>
    <row r="12" spans="1:10" x14ac:dyDescent="0.3">
      <c r="C12" t="s">
        <v>149</v>
      </c>
      <c r="D12" t="s">
        <v>98</v>
      </c>
      <c r="E12" s="2" t="s">
        <v>30</v>
      </c>
      <c r="F12">
        <v>8</v>
      </c>
      <c r="G12" s="3" t="s">
        <v>97</v>
      </c>
      <c r="H12" s="4" t="s">
        <v>100</v>
      </c>
      <c r="I12" s="4" t="s">
        <v>99</v>
      </c>
    </row>
    <row r="17" spans="1:16" x14ac:dyDescent="0.3">
      <c r="B17" s="1">
        <v>5</v>
      </c>
      <c r="C17" t="s">
        <v>28</v>
      </c>
      <c r="D17" t="s">
        <v>92</v>
      </c>
      <c r="E17" s="2" t="s">
        <v>30</v>
      </c>
      <c r="F17">
        <v>7</v>
      </c>
      <c r="G17" s="3" t="s">
        <v>29</v>
      </c>
      <c r="H17" s="4" t="s">
        <v>27</v>
      </c>
      <c r="I17" s="4" t="s">
        <v>93</v>
      </c>
    </row>
    <row r="18" spans="1:16" x14ac:dyDescent="0.3">
      <c r="D18" t="s">
        <v>88</v>
      </c>
      <c r="E18" s="2" t="s">
        <v>30</v>
      </c>
      <c r="F18">
        <v>7</v>
      </c>
      <c r="G18" s="3" t="s">
        <v>89</v>
      </c>
      <c r="H18" s="4" t="s">
        <v>90</v>
      </c>
      <c r="I18" s="4" t="s">
        <v>91</v>
      </c>
    </row>
    <row r="19" spans="1:16" x14ac:dyDescent="0.3">
      <c r="C19" t="s">
        <v>103</v>
      </c>
      <c r="D19" t="s">
        <v>104</v>
      </c>
      <c r="E19" s="2" t="s">
        <v>30</v>
      </c>
      <c r="F19" t="s">
        <v>72</v>
      </c>
      <c r="G19" s="3" t="s">
        <v>132</v>
      </c>
      <c r="H19" s="4" t="s">
        <v>101</v>
      </c>
      <c r="I19" s="4" t="s">
        <v>102</v>
      </c>
    </row>
    <row r="23" spans="1:16" x14ac:dyDescent="0.3">
      <c r="P23" s="19"/>
    </row>
    <row r="25" spans="1:16" x14ac:dyDescent="0.3">
      <c r="A25" s="1" t="s">
        <v>172</v>
      </c>
      <c r="B25">
        <v>4</v>
      </c>
      <c r="C25" t="s">
        <v>4</v>
      </c>
      <c r="D25" t="s">
        <v>138</v>
      </c>
      <c r="E25" s="2">
        <v>162.94</v>
      </c>
      <c r="F25">
        <v>8</v>
      </c>
      <c r="G25" s="3" t="s">
        <v>140</v>
      </c>
      <c r="H25" s="4" t="s">
        <v>7</v>
      </c>
      <c r="I25" s="4" t="s">
        <v>139</v>
      </c>
    </row>
    <row r="26" spans="1:16" x14ac:dyDescent="0.3">
      <c r="C26" t="s">
        <v>26</v>
      </c>
      <c r="D26" s="30" t="s">
        <v>148</v>
      </c>
      <c r="E26" s="2" t="s">
        <v>30</v>
      </c>
      <c r="F26">
        <v>8</v>
      </c>
      <c r="G26" s="3" t="s">
        <v>72</v>
      </c>
      <c r="H26" s="4" t="s">
        <v>165</v>
      </c>
      <c r="I26" s="4" t="s">
        <v>166</v>
      </c>
      <c r="P26" s="19"/>
    </row>
    <row r="27" spans="1:16" x14ac:dyDescent="0.3">
      <c r="C27" s="30" t="s">
        <v>15</v>
      </c>
      <c r="D27" s="30" t="s">
        <v>77</v>
      </c>
      <c r="E27" s="2" t="s">
        <v>30</v>
      </c>
      <c r="F27">
        <v>8</v>
      </c>
      <c r="G27" s="3" t="s">
        <v>168</v>
      </c>
      <c r="H27" s="4" t="s">
        <v>18</v>
      </c>
      <c r="I27" s="4" t="s">
        <v>167</v>
      </c>
    </row>
    <row r="28" spans="1:16" x14ac:dyDescent="0.3">
      <c r="C28" s="30" t="s">
        <v>149</v>
      </c>
      <c r="D28" s="30" t="s">
        <v>98</v>
      </c>
      <c r="E28" s="2" t="s">
        <v>30</v>
      </c>
      <c r="F28">
        <v>8</v>
      </c>
      <c r="G28" s="3" t="s">
        <v>169</v>
      </c>
      <c r="H28" s="4" t="s">
        <v>100</v>
      </c>
      <c r="I28" s="4" t="s">
        <v>99</v>
      </c>
    </row>
    <row r="29" spans="1:16" x14ac:dyDescent="0.3">
      <c r="C29" s="30" t="s">
        <v>103</v>
      </c>
      <c r="D29" s="30" t="s">
        <v>150</v>
      </c>
      <c r="E29" s="2" t="s">
        <v>30</v>
      </c>
      <c r="F29">
        <v>8</v>
      </c>
      <c r="G29" s="3" t="s">
        <v>140</v>
      </c>
      <c r="H29" s="4" t="s">
        <v>170</v>
      </c>
      <c r="I29" s="4" t="s">
        <v>171</v>
      </c>
    </row>
    <row r="34" spans="1:9" ht="15.6" x14ac:dyDescent="0.3">
      <c r="A34" s="1" t="s">
        <v>162</v>
      </c>
      <c r="C34" s="45" t="s">
        <v>155</v>
      </c>
      <c r="D34" s="45" t="s">
        <v>157</v>
      </c>
      <c r="E34" s="2">
        <v>23.95</v>
      </c>
      <c r="F34">
        <v>4</v>
      </c>
      <c r="G34" s="3">
        <v>52</v>
      </c>
      <c r="H34" s="4" t="s">
        <v>163</v>
      </c>
      <c r="I34" s="4" t="s">
        <v>164</v>
      </c>
    </row>
    <row r="41" spans="1:9" x14ac:dyDescent="0.3">
      <c r="A41" s="1" t="s">
        <v>151</v>
      </c>
      <c r="C41" t="s">
        <v>154</v>
      </c>
      <c r="D41" t="s">
        <v>153</v>
      </c>
      <c r="E41" s="2">
        <v>30.6</v>
      </c>
      <c r="F41" s="40" t="s">
        <v>144</v>
      </c>
      <c r="G41" s="40" t="s">
        <v>144</v>
      </c>
      <c r="H41" s="4" t="s">
        <v>152</v>
      </c>
    </row>
  </sheetData>
  <mergeCells count="1">
    <mergeCell ref="C2:I2"/>
  </mergeCells>
  <hyperlinks>
    <hyperlink ref="H6" r:id="rId1" display="https://www.maxongroup.de/maxon/view/product/motor/ecmotor/ecflat/ecflat45/608144" xr:uid="{13DD2ADC-3DCC-4F80-AB39-006560A666FC}"/>
    <hyperlink ref="H8" r:id="rId2" display="https://www.nanotec.com/eu/de/produkte/10873-df45l024048-e" xr:uid="{A68CBCA2-07FB-49DD-B9E1-58D950B7D87E}"/>
    <hyperlink ref="H9" r:id="rId3" display="https://orbexgroup.com/product/ec4527-flat-brushless-dc-motor/" xr:uid="{BE7683B1-A94D-4300-9EB6-91EF46FB8D3B}"/>
    <hyperlink ref="I6" r:id="rId4" display="https://www.maxongroup.de/medias/sys_master/root/8839890436126/DE-290-2020.pdf" xr:uid="{8E16383C-3501-4584-B8E0-D754F08916D0}"/>
    <hyperlink ref="I8" r:id="rId5" display="https://www.nanotec.com/fileadmin/files/Datenblaetter/BLDC/DF45/DF45L024048-E.pdf?1662643688" xr:uid="{367811B2-CA21-4D99-9DAC-FFF53B9FCA03}"/>
    <hyperlink ref="I9" r:id="rId6" display="https://orbex-group.s3.amazonaws.com/pdfs/flat-motors/EC4527.pdf" xr:uid="{8AFFCA1D-7547-4AEC-A443-CB650B8B045F}"/>
    <hyperlink ref="H10" r:id="rId7" display="https://www.delta-line.com/cat.pag/categoria-czk452kzpsxzk.html" xr:uid="{86BDEC99-4242-4B2A-AC27-6D2B6EEFB646}"/>
    <hyperlink ref="I10" r:id="rId8" display="https://www.delta-line.com/filedlw.php?id=3641" xr:uid="{A3BD901C-910F-4898-A077-80974B4020C2}"/>
    <hyperlink ref="H17" r:id="rId9" display="https://eshop.faulhaber.com/de/4221G024BXTH-SC/4221G024BXTH-SC" xr:uid="{D95768B3-DE13-420B-B526-94D5763660A8}"/>
    <hyperlink ref="H11" r:id="rId10" display="https://www.oyostepper.de/goods-685-Au%C3%9Fenl%C3%A4ufermotor-24V-4850-Umin-013-Nm-70W-36-A-3-Phasen-B%C3%BCrstenloser-DC-Getriebemotor.html" xr:uid="{72F3CBD7-FF6E-4134-B225-2D804E3EAE1D}"/>
    <hyperlink ref="H18" r:id="rId11" display="https://eshop.faulhaber.com/de/4221G024BXTR/4221G024BXTR" xr:uid="{5755B870-8C96-4553-A985-CFF216BCF5F2}"/>
    <hyperlink ref="I18" r:id="rId12" display="https://eshop.faulhaber.com/media/11/32/64/1775629963/DE_4221_BXTR_DFF.pdf" xr:uid="{03799E67-9311-4BB6-B098-3C8622F8C2D9}"/>
    <hyperlink ref="I17" r:id="rId13" display="https://eshop.faulhaber.com/media/31/a0/f4/1775629961/DE_4221_BXTH_DFF.pdf" xr:uid="{126D0153-FEFB-4740-A18B-95E499080AE4}"/>
    <hyperlink ref="I11" r:id="rId14" display="https://www.oyostepper.de/images/upload/File/45BLE27-24-01.pdf" xr:uid="{DD191FAD-1118-44BE-915D-A85D74AB134F}"/>
    <hyperlink ref="I12" r:id="rId15" display="https://de.servotecnica.com/wp-content/uploads/2025/12/SVTM-F-Series.pdf" xr:uid="{C17E5D04-957F-42F7-85E3-53FEF999F47D}"/>
    <hyperlink ref="H12" r:id="rId16" display="https://de.servotecnica.com/de/produkt/flache-bldc-motoren/" xr:uid="{3BF01AA3-4E48-4A8E-B1CC-B8E30EBC2010}"/>
    <hyperlink ref="H19" r:id="rId17" display="https://www.power-tronic.com/produkte/bldc-motoren/motoren-ohne-getriebe/bl42-66h/" xr:uid="{E6BBF746-03CB-4D86-8230-8BE39B571D73}"/>
    <hyperlink ref="I19" r:id="rId18" display="https://www.power-tronic.com/wp-content/uploads/2024/07/Typ-BL42-66H-2023-12-07.pdf" xr:uid="{47BEC084-C307-4D35-BDB9-AA457B85FEAD}"/>
    <hyperlink ref="I25" r:id="rId19" display="C:\Users\u020574\OneDrive - SCHUNK SE &amp; Co. KG\Documents\T1000\Daenbl%C3%A4tter\Datenblatt_ Maxon_EC45flat_50W.pdf" xr:uid="{E63A87EE-4CA1-47F7-AB8D-756B5AE69685}"/>
    <hyperlink ref="H25" r:id="rId20" display="https://www.maxongroup.de/maxon/view/product/motor/ecmotor/ecflat/ecflat45/651610" xr:uid="{50FB7CA0-A794-4ABE-808B-2D0CEEEE3CA2}"/>
    <hyperlink ref="H41" r:id="rId21" display="https://www.servonaut.de/shop/de/product_info.php?info=p726_motor-tm72.html" xr:uid="{1984C134-0C35-456B-9A21-3D5050A3A316}"/>
    <hyperlink ref="H34" r:id="rId22" display="https://www.reichelt.de/de/de/shop/produkt/dc-motor_buerstenlos_24_v_52_w_16_5_ncm-271493?PROVID=2788&amp;gad_source=1&amp;gad_campaignid=21157097500&amp;gclid=EAIaIQobChMI-b-8g-S_lQMViIKDBx2iFSdUEAQYASABEgLjavD_BwE" xr:uid="{DA18E7B7-A1C8-4A52-A5ED-F4A1AE7AE027}"/>
    <hyperlink ref="I34" r:id="rId23" display="https://cdn-reichelt.de/documents/datenblatt/C300/57BL03-1.pdf" xr:uid="{4DFB0ECA-B44C-4268-8805-E317077DC1C5}"/>
    <hyperlink ref="H26" r:id="rId24" display="https://www.delta-line.com/a.pag/45blw21-wires--pzk3010kzczk301.html" xr:uid="{C42C86FB-C74B-4CF1-9E36-CE63CDA9DAFB}"/>
    <hyperlink ref="I26" r:id="rId25" xr:uid="{AC7DC16B-6530-4533-880D-329CE5EE2DBC}"/>
    <hyperlink ref="H27" r:id="rId26" display="https://orbexgroup.com/product/ec4527-flat-brushless-dc-motor/" xr:uid="{9AA99A65-C884-4B3C-AAED-88317E7C3DB5}"/>
    <hyperlink ref="I27" r:id="rId27" xr:uid="{0A9AF9E8-C15F-458A-8426-2F0425DC8EA5}"/>
    <hyperlink ref="H28" r:id="rId28" display="https://de.servotecnica.com/de/produkt/flache-bldc-motoren/" xr:uid="{5CD3FA6E-27AE-4BE8-9A16-10A8F3BC623E}"/>
    <hyperlink ref="I28" r:id="rId29" display="https://de.servotecnica.com/wp-content/uploads/2025/12/SVTM-F-Series.pdf" xr:uid="{67A5D5EA-4DB2-42AC-AA4F-C3540EBF04A9}"/>
    <hyperlink ref="H29" r:id="rId30" display="https://www.power-tronic.com/produkte/bldc-motoren/aussenlaeufer/bl43/" xr:uid="{D86A4F7A-4233-4A5B-A7FA-8E3F23F5160E}"/>
    <hyperlink ref="I29" r:id="rId31" display="https://www.power-tronic.com/wp-content/uploads/2023/03/Typ-BL43-2023-03-27.pdf" xr:uid="{8768146D-1C92-4660-9371-BE6B296F8D12}"/>
  </hyperlinks>
  <pageMargins left="0.7" right="0.7" top="0.78740157499999996" bottom="0.78740157499999996" header="0.3" footer="0.3"/>
  <pageSetup paperSize="9"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AEDE-1BC8-4164-AD38-587554D4E2D3}">
  <dimension ref="A1:Q71"/>
  <sheetViews>
    <sheetView tabSelected="1" topLeftCell="A25" zoomScaleNormal="100" workbookViewId="0">
      <selection activeCell="E14" sqref="E14"/>
    </sheetView>
  </sheetViews>
  <sheetFormatPr baseColWidth="10" defaultRowHeight="14.4" x14ac:dyDescent="0.3"/>
  <cols>
    <col min="1" max="1" width="0.88671875" customWidth="1"/>
    <col min="2" max="2" width="30.33203125" customWidth="1"/>
    <col min="3" max="3" width="14" customWidth="1"/>
    <col min="4" max="4" width="19.5546875" style="25" customWidth="1"/>
    <col min="5" max="6" width="23.6640625" customWidth="1"/>
    <col min="7" max="7" width="20.33203125" style="7" customWidth="1"/>
    <col min="8" max="8" width="19.33203125" customWidth="1"/>
    <col min="9" max="10" width="19.88671875" customWidth="1"/>
    <col min="11" max="11" width="12.88671875" customWidth="1"/>
    <col min="12" max="12" width="13.5546875" customWidth="1"/>
  </cols>
  <sheetData>
    <row r="1" spans="2:17" x14ac:dyDescent="0.3">
      <c r="E1" s="25"/>
      <c r="F1" s="25"/>
    </row>
    <row r="2" spans="2:17" ht="21" x14ac:dyDescent="0.4">
      <c r="B2" s="58" t="s">
        <v>173</v>
      </c>
      <c r="E2" s="25"/>
      <c r="F2" s="25"/>
      <c r="P2" s="68"/>
      <c r="Q2" t="s">
        <v>181</v>
      </c>
    </row>
    <row r="3" spans="2:17" x14ac:dyDescent="0.3">
      <c r="E3" s="25"/>
      <c r="F3" s="25"/>
    </row>
    <row r="4" spans="2:17" x14ac:dyDescent="0.3">
      <c r="C4" s="3"/>
      <c r="D4" s="32" t="s">
        <v>142</v>
      </c>
      <c r="E4" s="25" t="s">
        <v>143</v>
      </c>
      <c r="M4" t="s">
        <v>76</v>
      </c>
      <c r="P4" s="65"/>
      <c r="Q4" t="s">
        <v>180</v>
      </c>
    </row>
    <row r="5" spans="2:17" ht="15.6" x14ac:dyDescent="0.3">
      <c r="B5" t="s">
        <v>1</v>
      </c>
      <c r="C5" s="3"/>
      <c r="D5" s="25" t="s">
        <v>141</v>
      </c>
      <c r="E5" s="25" t="s">
        <v>141</v>
      </c>
      <c r="F5" s="85" t="s">
        <v>28</v>
      </c>
      <c r="G5" s="87" t="s">
        <v>205</v>
      </c>
      <c r="H5" s="86" t="s">
        <v>26</v>
      </c>
      <c r="I5" s="86" t="s">
        <v>192</v>
      </c>
      <c r="J5" s="86" t="s">
        <v>206</v>
      </c>
      <c r="K5" s="45" t="s">
        <v>155</v>
      </c>
    </row>
    <row r="6" spans="2:17" ht="15.6" x14ac:dyDescent="0.3">
      <c r="B6" t="s">
        <v>31</v>
      </c>
      <c r="C6" s="3"/>
      <c r="D6" s="25">
        <v>651610</v>
      </c>
      <c r="E6" s="25">
        <v>651613</v>
      </c>
      <c r="F6" t="s">
        <v>80</v>
      </c>
      <c r="G6" s="7" t="s">
        <v>207</v>
      </c>
      <c r="H6" s="30" t="s">
        <v>148</v>
      </c>
      <c r="I6" s="30" t="s">
        <v>77</v>
      </c>
      <c r="J6" s="30" t="s">
        <v>77</v>
      </c>
      <c r="K6" s="45" t="s">
        <v>157</v>
      </c>
      <c r="P6" s="69"/>
      <c r="Q6" t="s">
        <v>182</v>
      </c>
    </row>
    <row r="7" spans="2:17" ht="15.6" x14ac:dyDescent="0.3">
      <c r="B7" t="s">
        <v>158</v>
      </c>
      <c r="C7" s="3"/>
      <c r="E7" s="25"/>
      <c r="H7" s="30"/>
      <c r="I7" s="37">
        <v>200011</v>
      </c>
      <c r="J7" s="37">
        <v>200014</v>
      </c>
      <c r="K7" s="59">
        <v>85011099</v>
      </c>
    </row>
    <row r="8" spans="2:17" x14ac:dyDescent="0.3">
      <c r="B8" t="s">
        <v>19</v>
      </c>
      <c r="D8" s="4" t="s">
        <v>7</v>
      </c>
      <c r="E8" s="4" t="s">
        <v>7</v>
      </c>
      <c r="F8" s="4" t="s">
        <v>90</v>
      </c>
      <c r="G8" s="88" t="s">
        <v>90</v>
      </c>
      <c r="H8" s="4" t="s">
        <v>165</v>
      </c>
      <c r="I8" s="4" t="s">
        <v>184</v>
      </c>
      <c r="J8" s="4" t="s">
        <v>184</v>
      </c>
      <c r="K8" s="4" t="s">
        <v>163</v>
      </c>
      <c r="L8" t="s">
        <v>185</v>
      </c>
      <c r="P8" s="78"/>
      <c r="Q8" t="s">
        <v>198</v>
      </c>
    </row>
    <row r="9" spans="2:17" x14ac:dyDescent="0.3">
      <c r="B9" t="s">
        <v>20</v>
      </c>
      <c r="D9" s="4" t="s">
        <v>201</v>
      </c>
      <c r="E9" s="4" t="s">
        <v>201</v>
      </c>
      <c r="F9" s="4" t="s">
        <v>91</v>
      </c>
      <c r="G9" s="88" t="s">
        <v>91</v>
      </c>
      <c r="H9" s="4" t="s">
        <v>25</v>
      </c>
      <c r="I9" s="4" t="s">
        <v>22</v>
      </c>
      <c r="J9" s="4" t="s">
        <v>22</v>
      </c>
      <c r="K9" s="4">
        <v>28</v>
      </c>
      <c r="L9" t="s">
        <v>185</v>
      </c>
    </row>
    <row r="10" spans="2:17" x14ac:dyDescent="0.3">
      <c r="D10"/>
      <c r="E10" s="25"/>
      <c r="P10" t="s">
        <v>144</v>
      </c>
      <c r="Q10" t="s">
        <v>183</v>
      </c>
    </row>
    <row r="11" spans="2:17" ht="15.6" x14ac:dyDescent="0.3">
      <c r="B11" t="s">
        <v>146</v>
      </c>
      <c r="C11" s="3"/>
      <c r="D11"/>
      <c r="E11" s="25"/>
      <c r="F11" s="70" t="b">
        <v>0</v>
      </c>
      <c r="G11" s="89" t="b">
        <v>0</v>
      </c>
      <c r="H11" s="46" t="b">
        <v>0</v>
      </c>
      <c r="I11" s="46" t="b">
        <v>0</v>
      </c>
      <c r="J11" s="46" t="b">
        <v>0</v>
      </c>
      <c r="K11" s="52" t="b">
        <v>0</v>
      </c>
    </row>
    <row r="12" spans="2:17" x14ac:dyDescent="0.3">
      <c r="B12" t="s">
        <v>193</v>
      </c>
      <c r="C12" s="3"/>
      <c r="E12" s="25"/>
      <c r="F12" t="s">
        <v>194</v>
      </c>
      <c r="G12" s="7" t="s">
        <v>204</v>
      </c>
      <c r="H12" t="s">
        <v>196</v>
      </c>
      <c r="I12" s="30" t="s">
        <v>199</v>
      </c>
      <c r="J12" s="30" t="s">
        <v>199</v>
      </c>
      <c r="K12" t="s">
        <v>197</v>
      </c>
    </row>
    <row r="13" spans="2:17" ht="15.6" x14ac:dyDescent="0.3">
      <c r="B13" t="s">
        <v>147</v>
      </c>
      <c r="C13" s="3"/>
      <c r="E13" s="25"/>
      <c r="F13" s="70" t="b">
        <v>1</v>
      </c>
      <c r="G13" s="89" t="b">
        <v>1</v>
      </c>
      <c r="H13" s="46" t="b">
        <v>1</v>
      </c>
      <c r="I13" s="46" t="b">
        <v>0</v>
      </c>
      <c r="J13" s="46" t="b">
        <v>0</v>
      </c>
      <c r="K13" s="47" t="b">
        <v>0</v>
      </c>
    </row>
    <row r="14" spans="2:17" ht="15.6" x14ac:dyDescent="0.3">
      <c r="B14" t="s">
        <v>193</v>
      </c>
      <c r="C14" s="3"/>
      <c r="E14" s="25"/>
      <c r="F14" s="30" t="s">
        <v>195</v>
      </c>
      <c r="G14" s="29" t="s">
        <v>195</v>
      </c>
      <c r="H14" t="s">
        <v>195</v>
      </c>
      <c r="I14" s="30" t="s">
        <v>199</v>
      </c>
      <c r="J14" s="30" t="s">
        <v>199</v>
      </c>
      <c r="K14" s="77" t="s">
        <v>197</v>
      </c>
    </row>
    <row r="15" spans="2:17" x14ac:dyDescent="0.3">
      <c r="E15" s="25"/>
    </row>
    <row r="16" spans="2:17" ht="15.6" x14ac:dyDescent="0.3">
      <c r="B16" t="s">
        <v>3</v>
      </c>
      <c r="C16" s="3"/>
      <c r="D16" s="26">
        <v>8</v>
      </c>
      <c r="E16" s="26">
        <v>8</v>
      </c>
      <c r="F16" s="29">
        <v>7</v>
      </c>
      <c r="G16" s="29">
        <v>7</v>
      </c>
      <c r="H16" s="29">
        <v>8</v>
      </c>
      <c r="I16" s="29">
        <v>8</v>
      </c>
      <c r="J16" s="29">
        <v>8</v>
      </c>
      <c r="K16" s="66">
        <v>4</v>
      </c>
      <c r="M16" t="s">
        <v>178</v>
      </c>
    </row>
    <row r="17" spans="1:13" ht="15.6" x14ac:dyDescent="0.3">
      <c r="B17" t="s">
        <v>63</v>
      </c>
      <c r="C17" s="3"/>
      <c r="D17" s="26">
        <v>3</v>
      </c>
      <c r="E17" s="26">
        <v>3</v>
      </c>
      <c r="F17" s="29">
        <v>3</v>
      </c>
      <c r="G17" s="29">
        <v>3</v>
      </c>
      <c r="H17" s="29">
        <v>3</v>
      </c>
      <c r="I17" s="29">
        <v>3</v>
      </c>
      <c r="J17" s="29">
        <v>3</v>
      </c>
      <c r="K17" s="50">
        <v>3</v>
      </c>
    </row>
    <row r="18" spans="1:13" ht="15.6" x14ac:dyDescent="0.3">
      <c r="B18" t="s">
        <v>64</v>
      </c>
      <c r="C18" s="3" t="s">
        <v>65</v>
      </c>
      <c r="D18" s="26">
        <v>116.4</v>
      </c>
      <c r="E18" s="26">
        <v>116.4</v>
      </c>
      <c r="F18" s="29">
        <v>127</v>
      </c>
      <c r="G18" s="29">
        <v>127</v>
      </c>
      <c r="H18" s="29">
        <v>120</v>
      </c>
      <c r="I18" s="29">
        <v>141</v>
      </c>
      <c r="J18" s="29">
        <v>141</v>
      </c>
      <c r="K18" s="67">
        <v>550</v>
      </c>
    </row>
    <row r="19" spans="1:13" ht="15.6" x14ac:dyDescent="0.3">
      <c r="B19" t="s">
        <v>95</v>
      </c>
      <c r="C19" s="10"/>
      <c r="D19" s="48" t="b">
        <v>1</v>
      </c>
      <c r="E19" s="48" t="b">
        <v>1</v>
      </c>
      <c r="F19" s="70" t="b">
        <v>1</v>
      </c>
      <c r="G19" s="89" t="b">
        <v>1</v>
      </c>
      <c r="H19" s="49" t="b">
        <v>1</v>
      </c>
      <c r="I19" s="49" t="b">
        <v>1</v>
      </c>
      <c r="J19" s="49" t="b">
        <v>1</v>
      </c>
      <c r="K19" s="53" t="b">
        <v>1</v>
      </c>
    </row>
    <row r="20" spans="1:13" ht="15.6" x14ac:dyDescent="0.3">
      <c r="C20" s="3"/>
      <c r="D20" s="26"/>
      <c r="E20" s="26"/>
      <c r="F20" s="30"/>
      <c r="G20" s="29"/>
      <c r="H20" s="29"/>
      <c r="I20" s="29"/>
      <c r="J20" s="29"/>
      <c r="K20" s="44"/>
    </row>
    <row r="21" spans="1:13" x14ac:dyDescent="0.3">
      <c r="B21" t="s">
        <v>38</v>
      </c>
      <c r="C21" s="3" t="s">
        <v>39</v>
      </c>
      <c r="D21" s="84">
        <v>40</v>
      </c>
      <c r="E21" s="83">
        <v>13</v>
      </c>
      <c r="F21" s="34" t="s">
        <v>72</v>
      </c>
      <c r="G21" s="34" t="s">
        <v>72</v>
      </c>
      <c r="H21" s="34" t="s">
        <v>144</v>
      </c>
      <c r="I21" s="34" t="s">
        <v>144</v>
      </c>
      <c r="J21" s="34" t="s">
        <v>144</v>
      </c>
      <c r="K21" s="13" t="s">
        <v>144</v>
      </c>
    </row>
    <row r="22" spans="1:13" s="90" customFormat="1" ht="15.6" x14ac:dyDescent="0.3">
      <c r="A22" s="90" t="s">
        <v>213</v>
      </c>
    </row>
    <row r="23" spans="1:13" x14ac:dyDescent="0.3">
      <c r="B23" t="s">
        <v>33</v>
      </c>
      <c r="C23" s="3"/>
      <c r="D23" s="26">
        <v>5740</v>
      </c>
      <c r="E23" s="26">
        <v>5740</v>
      </c>
      <c r="F23" s="29">
        <v>5960</v>
      </c>
      <c r="G23" s="7">
        <v>6070</v>
      </c>
      <c r="H23" s="34" t="s">
        <v>144</v>
      </c>
      <c r="I23" s="29">
        <v>6110</v>
      </c>
      <c r="J23" s="29">
        <v>3440</v>
      </c>
      <c r="K23" s="65">
        <v>4000</v>
      </c>
    </row>
    <row r="24" spans="1:13" x14ac:dyDescent="0.3">
      <c r="B24" t="s">
        <v>34</v>
      </c>
      <c r="C24" s="3" t="s">
        <v>41</v>
      </c>
      <c r="D24" s="84">
        <v>277</v>
      </c>
      <c r="E24" s="83">
        <v>104</v>
      </c>
      <c r="F24" s="62">
        <v>186</v>
      </c>
      <c r="G24" s="7">
        <v>74</v>
      </c>
      <c r="H24" s="29">
        <v>380</v>
      </c>
      <c r="I24" s="29">
        <v>400</v>
      </c>
      <c r="J24" s="29">
        <v>112</v>
      </c>
      <c r="K24" s="51" t="s">
        <v>144</v>
      </c>
      <c r="M24" t="s">
        <v>177</v>
      </c>
    </row>
    <row r="25" spans="1:13" s="90" customFormat="1" ht="15.6" x14ac:dyDescent="0.3">
      <c r="A25" s="90" t="s">
        <v>214</v>
      </c>
    </row>
    <row r="26" spans="1:13" ht="15.6" x14ac:dyDescent="0.3">
      <c r="B26" t="s">
        <v>32</v>
      </c>
      <c r="C26" s="3" t="s">
        <v>40</v>
      </c>
      <c r="D26" s="26">
        <v>18</v>
      </c>
      <c r="E26" s="84">
        <v>48</v>
      </c>
      <c r="F26" s="29">
        <v>24</v>
      </c>
      <c r="G26" s="7">
        <v>48</v>
      </c>
      <c r="H26" s="29">
        <v>24</v>
      </c>
      <c r="I26" s="29">
        <v>24</v>
      </c>
      <c r="J26" s="29">
        <v>48</v>
      </c>
      <c r="K26" s="44">
        <v>24</v>
      </c>
      <c r="M26" t="s">
        <v>175</v>
      </c>
    </row>
    <row r="27" spans="1:13" ht="15.6" x14ac:dyDescent="0.3">
      <c r="B27" t="s">
        <v>36</v>
      </c>
      <c r="C27" s="3" t="s">
        <v>39</v>
      </c>
      <c r="D27" s="84">
        <v>3.68</v>
      </c>
      <c r="E27" s="83">
        <v>1.27</v>
      </c>
      <c r="F27" s="29">
        <v>3.17</v>
      </c>
      <c r="G27" s="7">
        <v>1.66</v>
      </c>
      <c r="H27" s="60">
        <v>2.5499999999999998</v>
      </c>
      <c r="I27" s="64">
        <v>3.21</v>
      </c>
      <c r="J27" s="64">
        <v>0.94</v>
      </c>
      <c r="K27" s="50">
        <v>3</v>
      </c>
      <c r="M27" t="s">
        <v>174</v>
      </c>
    </row>
    <row r="28" spans="1:13" ht="15.6" x14ac:dyDescent="0.3">
      <c r="B28" t="s">
        <v>11</v>
      </c>
      <c r="C28" s="3" t="s">
        <v>67</v>
      </c>
      <c r="D28" s="26">
        <v>50</v>
      </c>
      <c r="E28" s="26">
        <v>50</v>
      </c>
      <c r="F28" s="62">
        <v>100</v>
      </c>
      <c r="G28" s="7">
        <v>100</v>
      </c>
      <c r="H28" s="34" t="s">
        <v>144</v>
      </c>
      <c r="I28" s="64">
        <v>70</v>
      </c>
      <c r="J28" s="64">
        <v>70</v>
      </c>
      <c r="K28" s="50">
        <v>52</v>
      </c>
    </row>
    <row r="29" spans="1:13" ht="15.6" x14ac:dyDescent="0.3">
      <c r="B29" t="s">
        <v>37</v>
      </c>
      <c r="C29" s="3"/>
      <c r="D29" s="26">
        <v>4690</v>
      </c>
      <c r="E29" s="26">
        <v>4710</v>
      </c>
      <c r="F29" s="60">
        <v>4180</v>
      </c>
      <c r="G29" s="7">
        <v>4390</v>
      </c>
      <c r="H29" s="64">
        <v>5260</v>
      </c>
      <c r="I29" s="29">
        <v>4860</v>
      </c>
      <c r="J29" s="29">
        <v>2500</v>
      </c>
      <c r="K29" s="61">
        <v>3000</v>
      </c>
    </row>
    <row r="30" spans="1:13" ht="15.6" x14ac:dyDescent="0.3">
      <c r="B30" t="s">
        <v>35</v>
      </c>
      <c r="C30" s="3" t="s">
        <v>42</v>
      </c>
      <c r="D30" s="26">
        <v>112</v>
      </c>
      <c r="E30" s="26">
        <v>102</v>
      </c>
      <c r="F30" s="29">
        <v>127</v>
      </c>
      <c r="G30" s="7">
        <v>134</v>
      </c>
      <c r="H30" s="60">
        <v>84</v>
      </c>
      <c r="I30" s="29">
        <v>128</v>
      </c>
      <c r="J30" s="29">
        <v>134</v>
      </c>
      <c r="K30" s="63">
        <v>165</v>
      </c>
    </row>
    <row r="31" spans="1:13" ht="15.6" x14ac:dyDescent="0.3">
      <c r="B31" t="s">
        <v>73</v>
      </c>
      <c r="C31" s="3" t="s">
        <v>39</v>
      </c>
      <c r="D31" s="28" t="s">
        <v>144</v>
      </c>
      <c r="E31" s="28" t="s">
        <v>144</v>
      </c>
      <c r="F31" s="74" t="s">
        <v>72</v>
      </c>
      <c r="G31" s="74" t="s">
        <v>72</v>
      </c>
      <c r="H31" s="29">
        <v>7</v>
      </c>
      <c r="I31" s="62">
        <v>39.5</v>
      </c>
      <c r="J31" s="62">
        <v>7</v>
      </c>
      <c r="K31" s="44">
        <v>9</v>
      </c>
    </row>
    <row r="32" spans="1:13" ht="15.6" x14ac:dyDescent="0.3">
      <c r="B32" t="s">
        <v>75</v>
      </c>
      <c r="C32" s="3" t="s">
        <v>42</v>
      </c>
      <c r="D32" s="28" t="s">
        <v>144</v>
      </c>
      <c r="E32" s="28" t="s">
        <v>144</v>
      </c>
      <c r="F32" s="74" t="s">
        <v>72</v>
      </c>
      <c r="G32" s="74" t="s">
        <v>72</v>
      </c>
      <c r="H32" s="29">
        <v>250</v>
      </c>
      <c r="I32" s="62">
        <v>1150</v>
      </c>
      <c r="J32" s="62">
        <v>897</v>
      </c>
      <c r="K32" s="44">
        <v>580</v>
      </c>
    </row>
    <row r="33" spans="1:13" x14ac:dyDescent="0.3">
      <c r="B33" t="s">
        <v>43</v>
      </c>
      <c r="C33" s="3" t="s">
        <v>44</v>
      </c>
      <c r="D33" s="26">
        <v>84.4</v>
      </c>
      <c r="E33" s="26">
        <v>83.4</v>
      </c>
      <c r="F33" s="29">
        <v>87</v>
      </c>
      <c r="G33" s="7">
        <v>88</v>
      </c>
      <c r="H33" s="34" t="s">
        <v>144</v>
      </c>
      <c r="I33" s="29">
        <v>85</v>
      </c>
      <c r="J33" s="29">
        <v>84</v>
      </c>
      <c r="K33" s="13" t="s">
        <v>144</v>
      </c>
    </row>
    <row r="34" spans="1:13" s="90" customFormat="1" ht="15.6" x14ac:dyDescent="0.3">
      <c r="A34" s="90" t="s">
        <v>215</v>
      </c>
    </row>
    <row r="35" spans="1:13" ht="15.6" x14ac:dyDescent="0.3">
      <c r="B35" t="s">
        <v>45</v>
      </c>
      <c r="C35" s="3" t="s">
        <v>74</v>
      </c>
      <c r="D35" s="83">
        <v>447</v>
      </c>
      <c r="E35" s="84">
        <v>3610</v>
      </c>
      <c r="F35" s="29">
        <v>740</v>
      </c>
      <c r="G35" s="7">
        <v>2600</v>
      </c>
      <c r="H35" s="29">
        <v>800</v>
      </c>
      <c r="I35" s="62">
        <v>550</v>
      </c>
      <c r="J35" s="62">
        <v>6890</v>
      </c>
      <c r="K35" s="44">
        <v>820</v>
      </c>
      <c r="M35" t="s">
        <v>176</v>
      </c>
    </row>
    <row r="36" spans="1:13" x14ac:dyDescent="0.3">
      <c r="B36" t="s">
        <v>46</v>
      </c>
      <c r="C36" s="3" t="s">
        <v>81</v>
      </c>
      <c r="D36" s="83">
        <v>243</v>
      </c>
      <c r="E36" s="84">
        <v>1730</v>
      </c>
      <c r="F36" s="29">
        <v>664</v>
      </c>
      <c r="G36" s="7">
        <v>2550</v>
      </c>
      <c r="H36" s="29">
        <v>330</v>
      </c>
      <c r="I36" s="29">
        <v>220</v>
      </c>
      <c r="J36" s="29">
        <v>3120</v>
      </c>
      <c r="K36" s="13" t="s">
        <v>144</v>
      </c>
      <c r="M36" t="s">
        <v>190</v>
      </c>
    </row>
    <row r="37" spans="1:13" s="90" customFormat="1" ht="15.6" x14ac:dyDescent="0.3">
      <c r="A37" s="90" t="s">
        <v>216</v>
      </c>
    </row>
    <row r="38" spans="1:13" ht="15.6" x14ac:dyDescent="0.3">
      <c r="B38" t="s">
        <v>47</v>
      </c>
      <c r="C38" s="3" t="s">
        <v>52</v>
      </c>
      <c r="D38" s="83">
        <v>29.5</v>
      </c>
      <c r="E38" s="84">
        <v>78.599999999999994</v>
      </c>
      <c r="F38" s="29">
        <v>37.700000000000003</v>
      </c>
      <c r="G38" s="7">
        <v>75.2</v>
      </c>
      <c r="H38" s="60">
        <v>33</v>
      </c>
      <c r="I38" s="60">
        <v>37.17</v>
      </c>
      <c r="J38" s="60">
        <v>131.1</v>
      </c>
      <c r="K38" s="44">
        <v>61</v>
      </c>
    </row>
    <row r="39" spans="1:13" ht="15.6" x14ac:dyDescent="0.3">
      <c r="B39" t="s">
        <v>48</v>
      </c>
      <c r="C39" s="3"/>
      <c r="D39" s="84">
        <v>324</v>
      </c>
      <c r="E39" s="83">
        <v>121</v>
      </c>
      <c r="F39" s="29">
        <v>253</v>
      </c>
      <c r="G39" s="7">
        <v>127</v>
      </c>
      <c r="H39" s="34" t="s">
        <v>144</v>
      </c>
      <c r="I39" s="64">
        <v>257</v>
      </c>
      <c r="J39" s="64">
        <v>73</v>
      </c>
      <c r="K39" s="44" t="s">
        <v>179</v>
      </c>
    </row>
    <row r="40" spans="1:13" x14ac:dyDescent="0.3">
      <c r="B40" t="s">
        <v>202</v>
      </c>
      <c r="C40" s="3"/>
      <c r="D40" s="83">
        <v>4.91</v>
      </c>
      <c r="E40" s="84">
        <v>5.58</v>
      </c>
      <c r="F40" s="29">
        <v>4.97</v>
      </c>
      <c r="G40" s="7">
        <v>4.4000000000000004</v>
      </c>
      <c r="H40" s="34" t="s">
        <v>144</v>
      </c>
      <c r="I40" s="29">
        <v>5.31</v>
      </c>
      <c r="J40" s="29">
        <v>3.84</v>
      </c>
      <c r="K40" s="13" t="s">
        <v>144</v>
      </c>
    </row>
    <row r="41" spans="1:13" x14ac:dyDescent="0.3">
      <c r="B41" t="s">
        <v>50</v>
      </c>
      <c r="C41" s="3" t="s">
        <v>53</v>
      </c>
      <c r="D41" s="83">
        <v>6.94</v>
      </c>
      <c r="E41" s="84">
        <v>7.89</v>
      </c>
      <c r="F41" s="30">
        <v>3.59</v>
      </c>
      <c r="G41" s="7">
        <v>3.18</v>
      </c>
      <c r="H41" s="34" t="s">
        <v>144</v>
      </c>
      <c r="I41" s="29">
        <v>8.1</v>
      </c>
      <c r="J41" s="29">
        <v>7.2</v>
      </c>
      <c r="K41" s="13" t="s">
        <v>144</v>
      </c>
    </row>
    <row r="42" spans="1:13" x14ac:dyDescent="0.3">
      <c r="B42" t="s">
        <v>51</v>
      </c>
      <c r="C42" s="3"/>
      <c r="D42" s="26">
        <v>135</v>
      </c>
      <c r="E42" s="26">
        <v>135</v>
      </c>
      <c r="F42" s="62">
        <v>69</v>
      </c>
      <c r="G42" s="7">
        <v>69</v>
      </c>
      <c r="H42" s="29">
        <v>135</v>
      </c>
      <c r="I42" s="64">
        <v>181</v>
      </c>
      <c r="J42" s="64">
        <v>181</v>
      </c>
      <c r="K42" s="13" t="s">
        <v>144</v>
      </c>
    </row>
    <row r="43" spans="1:13" s="90" customFormat="1" ht="15.6" x14ac:dyDescent="0.3">
      <c r="A43" s="90" t="s">
        <v>217</v>
      </c>
    </row>
    <row r="44" spans="1:13" x14ac:dyDescent="0.3">
      <c r="B44" t="s">
        <v>55</v>
      </c>
      <c r="C44" s="3" t="s">
        <v>54</v>
      </c>
      <c r="D44" s="26">
        <v>9.9499999999999993</v>
      </c>
      <c r="E44" s="26">
        <v>9.9499999999999993</v>
      </c>
      <c r="F44" s="34" t="s">
        <v>72</v>
      </c>
      <c r="G44" s="34" t="s">
        <v>72</v>
      </c>
      <c r="H44" s="34" t="s">
        <v>144</v>
      </c>
      <c r="I44" s="13" t="s">
        <v>144</v>
      </c>
      <c r="J44" s="13" t="s">
        <v>144</v>
      </c>
      <c r="K44" s="13" t="s">
        <v>144</v>
      </c>
    </row>
    <row r="45" spans="1:13" x14ac:dyDescent="0.3">
      <c r="B45" t="s">
        <v>145</v>
      </c>
      <c r="C45" s="3" t="s">
        <v>57</v>
      </c>
      <c r="D45" s="26">
        <v>78.3</v>
      </c>
      <c r="E45" s="26">
        <v>78.3</v>
      </c>
      <c r="F45" s="34" t="s">
        <v>72</v>
      </c>
      <c r="G45" s="34" t="s">
        <v>72</v>
      </c>
      <c r="H45" s="34" t="s">
        <v>144</v>
      </c>
      <c r="I45" s="13" t="s">
        <v>144</v>
      </c>
      <c r="J45" s="13" t="s">
        <v>144</v>
      </c>
      <c r="K45" s="13" t="s">
        <v>144</v>
      </c>
    </row>
    <row r="46" spans="1:13" x14ac:dyDescent="0.3">
      <c r="B46" t="s">
        <v>56</v>
      </c>
      <c r="C46" s="3" t="s">
        <v>57</v>
      </c>
      <c r="D46" s="26">
        <v>28.8</v>
      </c>
      <c r="E46" s="26">
        <v>28.8</v>
      </c>
      <c r="F46" s="34" t="s">
        <v>72</v>
      </c>
      <c r="G46" s="34" t="s">
        <v>72</v>
      </c>
      <c r="H46" s="34" t="s">
        <v>144</v>
      </c>
      <c r="I46" s="13" t="s">
        <v>144</v>
      </c>
      <c r="J46" s="13" t="s">
        <v>144</v>
      </c>
      <c r="K46" s="13" t="s">
        <v>144</v>
      </c>
    </row>
    <row r="47" spans="1:13" x14ac:dyDescent="0.3">
      <c r="B47" t="s">
        <v>60</v>
      </c>
      <c r="C47" s="3" t="s">
        <v>58</v>
      </c>
      <c r="D47" s="26">
        <v>-40</v>
      </c>
      <c r="E47" s="26">
        <v>-40</v>
      </c>
      <c r="F47" s="29">
        <v>-40</v>
      </c>
      <c r="G47" s="29">
        <v>-40</v>
      </c>
      <c r="H47" s="34" t="s">
        <v>144</v>
      </c>
      <c r="I47" s="29">
        <v>-40</v>
      </c>
      <c r="J47" s="29">
        <v>-40</v>
      </c>
      <c r="K47" s="13" t="s">
        <v>144</v>
      </c>
    </row>
    <row r="48" spans="1:13" x14ac:dyDescent="0.3">
      <c r="B48" t="s">
        <v>59</v>
      </c>
      <c r="C48" s="3" t="s">
        <v>58</v>
      </c>
      <c r="D48" s="26">
        <v>100</v>
      </c>
      <c r="E48" s="26">
        <v>100</v>
      </c>
      <c r="F48" s="29">
        <v>100</v>
      </c>
      <c r="G48" s="29">
        <v>100</v>
      </c>
      <c r="H48" s="34" t="s">
        <v>144</v>
      </c>
      <c r="I48" s="29">
        <v>100</v>
      </c>
      <c r="J48" s="29">
        <v>100</v>
      </c>
      <c r="K48" s="13" t="s">
        <v>144</v>
      </c>
    </row>
    <row r="49" spans="1:13" x14ac:dyDescent="0.3">
      <c r="B49" t="s">
        <v>61</v>
      </c>
      <c r="C49" s="3" t="s">
        <v>58</v>
      </c>
      <c r="D49" s="26">
        <v>125</v>
      </c>
      <c r="E49" s="26">
        <v>125</v>
      </c>
      <c r="F49" s="29">
        <v>125</v>
      </c>
      <c r="G49" s="29">
        <v>125</v>
      </c>
      <c r="H49" s="34" t="s">
        <v>144</v>
      </c>
      <c r="I49" s="29">
        <v>125</v>
      </c>
      <c r="J49" s="29">
        <v>125</v>
      </c>
      <c r="K49" s="13" t="s">
        <v>144</v>
      </c>
    </row>
    <row r="50" spans="1:13" s="91" customFormat="1" ht="15.75" customHeight="1" x14ac:dyDescent="0.3">
      <c r="A50" s="91" t="s">
        <v>218</v>
      </c>
    </row>
    <row r="51" spans="1:13" x14ac:dyDescent="0.3">
      <c r="B51" t="s">
        <v>62</v>
      </c>
      <c r="C51" s="3"/>
      <c r="D51" s="26">
        <v>10000</v>
      </c>
      <c r="E51" s="26">
        <v>10000</v>
      </c>
      <c r="F51" s="29">
        <v>10000</v>
      </c>
      <c r="G51" s="29">
        <v>10000</v>
      </c>
      <c r="H51" s="34" t="s">
        <v>144</v>
      </c>
      <c r="I51" s="29">
        <v>10000</v>
      </c>
      <c r="J51" s="29">
        <v>10000</v>
      </c>
      <c r="K51" s="13" t="s">
        <v>144</v>
      </c>
    </row>
    <row r="52" spans="1:13" ht="15.6" x14ac:dyDescent="0.3">
      <c r="B52" t="s">
        <v>83</v>
      </c>
      <c r="C52" s="3" t="s">
        <v>70</v>
      </c>
      <c r="D52" s="26">
        <v>43.5</v>
      </c>
      <c r="E52" s="26">
        <v>43.5</v>
      </c>
      <c r="F52" s="29">
        <v>42</v>
      </c>
      <c r="G52" s="29">
        <v>42</v>
      </c>
      <c r="H52" s="64">
        <v>43.2</v>
      </c>
      <c r="I52" s="29">
        <v>42</v>
      </c>
      <c r="J52" s="29">
        <v>42</v>
      </c>
      <c r="K52" s="79">
        <v>57</v>
      </c>
    </row>
    <row r="53" spans="1:13" ht="15.6" x14ac:dyDescent="0.3">
      <c r="B53" t="s">
        <v>82</v>
      </c>
      <c r="C53" s="3" t="s">
        <v>70</v>
      </c>
      <c r="D53" s="26">
        <v>22</v>
      </c>
      <c r="E53" s="26">
        <v>22</v>
      </c>
      <c r="F53" s="29">
        <v>21.2</v>
      </c>
      <c r="G53" s="29">
        <v>21.2</v>
      </c>
      <c r="H53" s="29">
        <v>21</v>
      </c>
      <c r="I53" s="76">
        <v>26.7</v>
      </c>
      <c r="J53" s="76">
        <v>26.7</v>
      </c>
      <c r="K53" s="79">
        <v>56.5</v>
      </c>
      <c r="M53" t="s">
        <v>188</v>
      </c>
    </row>
    <row r="54" spans="1:13" ht="15.6" x14ac:dyDescent="0.3">
      <c r="B54" t="s">
        <v>69</v>
      </c>
      <c r="C54" s="3" t="s">
        <v>70</v>
      </c>
      <c r="D54" s="26">
        <v>4</v>
      </c>
      <c r="E54" s="26">
        <v>4</v>
      </c>
      <c r="F54" s="76">
        <v>5</v>
      </c>
      <c r="G54" s="76">
        <v>5</v>
      </c>
      <c r="H54" s="29">
        <v>4</v>
      </c>
      <c r="I54" s="29">
        <v>4</v>
      </c>
      <c r="J54" s="29">
        <v>4</v>
      </c>
      <c r="K54" s="79">
        <v>8</v>
      </c>
    </row>
    <row r="55" spans="1:13" ht="15.6" x14ac:dyDescent="0.3">
      <c r="B55" t="s">
        <v>68</v>
      </c>
      <c r="C55" s="3" t="s">
        <v>70</v>
      </c>
      <c r="D55" s="26">
        <v>20</v>
      </c>
      <c r="E55" s="26">
        <v>20</v>
      </c>
      <c r="F55" s="29">
        <v>11.5</v>
      </c>
      <c r="G55" s="29">
        <v>11.5</v>
      </c>
      <c r="H55" s="64">
        <v>17.399999999999999</v>
      </c>
      <c r="I55" s="60">
        <v>6.8</v>
      </c>
      <c r="J55" s="60">
        <v>6.8</v>
      </c>
      <c r="K55" s="79">
        <v>23</v>
      </c>
      <c r="M55" t="s">
        <v>189</v>
      </c>
    </row>
    <row r="56" spans="1:13" ht="15.6" x14ac:dyDescent="0.3">
      <c r="B56" t="s">
        <v>71</v>
      </c>
      <c r="C56" s="3" t="s">
        <v>70</v>
      </c>
      <c r="D56" s="26">
        <v>42</v>
      </c>
      <c r="E56" s="26">
        <v>42</v>
      </c>
      <c r="F56" s="60">
        <v>34.200000000000003</v>
      </c>
      <c r="G56" s="60">
        <v>34.200000000000003</v>
      </c>
      <c r="H56" s="29">
        <v>41.6</v>
      </c>
      <c r="I56" s="29">
        <v>36.700000000000003</v>
      </c>
      <c r="J56" s="29">
        <v>36.700000000000003</v>
      </c>
      <c r="K56" s="79">
        <v>81.5</v>
      </c>
    </row>
    <row r="57" spans="1:13" ht="15.6" x14ac:dyDescent="0.3">
      <c r="B57" t="s">
        <v>134</v>
      </c>
      <c r="C57" s="3" t="s">
        <v>70</v>
      </c>
      <c r="D57" s="26">
        <v>12</v>
      </c>
      <c r="E57" s="26">
        <v>12</v>
      </c>
      <c r="F57" s="76">
        <v>16</v>
      </c>
      <c r="G57" s="76">
        <v>16</v>
      </c>
      <c r="H57" s="76">
        <v>16</v>
      </c>
      <c r="I57" s="29">
        <v>12</v>
      </c>
      <c r="J57" s="29">
        <v>12</v>
      </c>
      <c r="K57" s="79">
        <v>25</v>
      </c>
    </row>
    <row r="58" spans="1:13" s="91" customFormat="1" ht="15.75" customHeight="1" x14ac:dyDescent="0.3">
      <c r="A58" s="91" t="s">
        <v>219</v>
      </c>
    </row>
    <row r="59" spans="1:13" ht="15.6" x14ac:dyDescent="0.3">
      <c r="B59" t="s">
        <v>210</v>
      </c>
      <c r="C59" s="3" t="s">
        <v>70</v>
      </c>
      <c r="D59" s="26">
        <v>0.3</v>
      </c>
      <c r="E59" s="26">
        <v>0.3</v>
      </c>
      <c r="F59" s="29">
        <v>0.3</v>
      </c>
      <c r="G59" s="29">
        <v>0.3</v>
      </c>
      <c r="H59" s="29">
        <v>0.3</v>
      </c>
      <c r="I59" s="29">
        <v>0.3</v>
      </c>
      <c r="J59" s="29">
        <v>0.3</v>
      </c>
      <c r="K59" s="44">
        <v>0</v>
      </c>
    </row>
    <row r="60" spans="1:13" x14ac:dyDescent="0.3">
      <c r="B60" t="s">
        <v>209</v>
      </c>
      <c r="C60" s="3" t="s">
        <v>70</v>
      </c>
      <c r="D60" s="26">
        <v>82.7</v>
      </c>
      <c r="E60" s="26">
        <v>82.7</v>
      </c>
      <c r="F60" s="29">
        <v>82.7</v>
      </c>
      <c r="G60" s="29">
        <v>82.7</v>
      </c>
      <c r="H60" s="29">
        <v>82.7</v>
      </c>
      <c r="I60" s="29">
        <v>82.7</v>
      </c>
      <c r="J60" s="29">
        <v>82.7</v>
      </c>
      <c r="K60" s="29">
        <v>82.7</v>
      </c>
    </row>
    <row r="61" spans="1:13" x14ac:dyDescent="0.3">
      <c r="B61" t="s">
        <v>211</v>
      </c>
      <c r="C61" s="3" t="s">
        <v>70</v>
      </c>
      <c r="D61" s="26">
        <v>17</v>
      </c>
      <c r="E61" s="26">
        <v>17</v>
      </c>
      <c r="F61" s="29">
        <v>17</v>
      </c>
      <c r="G61" s="29">
        <v>17</v>
      </c>
      <c r="H61" s="29">
        <v>17</v>
      </c>
      <c r="I61" s="29">
        <v>17</v>
      </c>
      <c r="J61" s="29">
        <v>17</v>
      </c>
      <c r="K61" s="29">
        <v>17</v>
      </c>
    </row>
    <row r="62" spans="1:13" x14ac:dyDescent="0.3">
      <c r="B62" t="s">
        <v>208</v>
      </c>
      <c r="C62" s="3" t="s">
        <v>70</v>
      </c>
      <c r="D62" s="26">
        <f>D60-D61+D59</f>
        <v>66</v>
      </c>
      <c r="E62" s="26">
        <f>E60-E61+E59</f>
        <v>66</v>
      </c>
      <c r="F62" s="26">
        <f t="shared" ref="F62:K62" si="0">F60-F61+F59</f>
        <v>66</v>
      </c>
      <c r="G62" s="26">
        <f t="shared" si="0"/>
        <v>66</v>
      </c>
      <c r="H62" s="26">
        <f t="shared" si="0"/>
        <v>66</v>
      </c>
      <c r="I62" s="26">
        <f t="shared" si="0"/>
        <v>66</v>
      </c>
      <c r="J62" s="26">
        <f t="shared" si="0"/>
        <v>66</v>
      </c>
      <c r="K62" s="26">
        <f t="shared" si="0"/>
        <v>65.7</v>
      </c>
    </row>
    <row r="63" spans="1:13" x14ac:dyDescent="0.3">
      <c r="C63" s="3"/>
      <c r="D63"/>
      <c r="E63" s="25"/>
      <c r="F63" s="30"/>
      <c r="G63" s="30"/>
      <c r="H63" s="30"/>
      <c r="I63" s="30"/>
      <c r="J63" s="30"/>
      <c r="K63" s="30"/>
    </row>
    <row r="64" spans="1:13" ht="15.6" x14ac:dyDescent="0.3">
      <c r="B64" s="73" t="s">
        <v>186</v>
      </c>
      <c r="C64" s="3" t="s">
        <v>161</v>
      </c>
      <c r="D64" s="25">
        <v>162.94</v>
      </c>
      <c r="E64" s="25">
        <v>162.94</v>
      </c>
      <c r="F64" s="29">
        <v>242.6</v>
      </c>
      <c r="G64" s="29">
        <v>350</v>
      </c>
      <c r="H64" s="21">
        <v>150</v>
      </c>
      <c r="I64" s="21">
        <v>120</v>
      </c>
      <c r="J64" s="21">
        <v>121</v>
      </c>
      <c r="K64" s="44">
        <v>23.95</v>
      </c>
    </row>
    <row r="65" spans="2:12" ht="15.75" customHeight="1" x14ac:dyDescent="0.3">
      <c r="B65" s="73"/>
      <c r="C65" s="15" t="s">
        <v>30</v>
      </c>
      <c r="D65" s="71" t="b">
        <v>1</v>
      </c>
      <c r="E65" s="71" t="b">
        <v>1</v>
      </c>
      <c r="F65" s="70" t="b">
        <v>0</v>
      </c>
      <c r="G65" s="70" t="b">
        <v>0</v>
      </c>
      <c r="H65" s="11" t="b">
        <v>1</v>
      </c>
      <c r="I65" s="70" t="b">
        <v>1</v>
      </c>
      <c r="J65" s="70" t="b">
        <v>1</v>
      </c>
      <c r="K65" s="72" t="b">
        <v>0</v>
      </c>
    </row>
    <row r="66" spans="2:12" x14ac:dyDescent="0.3">
      <c r="E66" s="25"/>
      <c r="G66"/>
      <c r="H66" t="s">
        <v>187</v>
      </c>
      <c r="I66" t="s">
        <v>187</v>
      </c>
      <c r="J66" t="s">
        <v>187</v>
      </c>
    </row>
    <row r="67" spans="2:12" x14ac:dyDescent="0.3">
      <c r="B67" t="s">
        <v>203</v>
      </c>
      <c r="E67" s="25"/>
      <c r="F67" s="4" t="s">
        <v>90</v>
      </c>
      <c r="G67" s="4" t="s">
        <v>191</v>
      </c>
      <c r="H67" s="4" t="s">
        <v>165</v>
      </c>
      <c r="I67" s="4" t="s">
        <v>184</v>
      </c>
      <c r="J67" s="4" t="s">
        <v>184</v>
      </c>
      <c r="K67" s="4" t="s">
        <v>163</v>
      </c>
      <c r="L67" t="s">
        <v>185</v>
      </c>
    </row>
    <row r="68" spans="2:12" x14ac:dyDescent="0.3">
      <c r="B68" t="s">
        <v>212</v>
      </c>
      <c r="D68" s="71" t="b">
        <v>0</v>
      </c>
      <c r="E68" s="71" t="b">
        <v>0</v>
      </c>
      <c r="F68" s="70" t="b">
        <v>1</v>
      </c>
      <c r="G68" s="70" t="b">
        <v>0</v>
      </c>
      <c r="H68" s="11" t="b">
        <v>1</v>
      </c>
      <c r="I68" s="11" t="b">
        <v>0</v>
      </c>
      <c r="J68" s="11" t="b">
        <v>0</v>
      </c>
      <c r="K68" s="11" t="b">
        <v>1</v>
      </c>
    </row>
    <row r="69" spans="2:12" s="2" customFormat="1" x14ac:dyDescent="0.3">
      <c r="D69" s="80">
        <f t="shared" ref="D69:K69" si="1">IF(D68,D64,0)</f>
        <v>0</v>
      </c>
      <c r="E69" s="80">
        <f t="shared" si="1"/>
        <v>0</v>
      </c>
      <c r="F69" s="75">
        <f t="shared" si="1"/>
        <v>242.6</v>
      </c>
      <c r="G69" s="75">
        <f t="shared" si="1"/>
        <v>0</v>
      </c>
      <c r="H69" s="2">
        <f t="shared" si="1"/>
        <v>150</v>
      </c>
      <c r="I69" s="2">
        <f t="shared" si="1"/>
        <v>0</v>
      </c>
      <c r="J69" s="2">
        <f t="shared" si="1"/>
        <v>0</v>
      </c>
      <c r="K69" s="2">
        <f t="shared" si="1"/>
        <v>23.95</v>
      </c>
    </row>
    <row r="71" spans="2:12" ht="15.6" x14ac:dyDescent="0.3">
      <c r="B71" s="81" t="s">
        <v>200</v>
      </c>
      <c r="C71" s="82">
        <f>SUM(D69:K69)</f>
        <v>416.55</v>
      </c>
    </row>
  </sheetData>
  <mergeCells count="7">
    <mergeCell ref="A22:XFD22"/>
    <mergeCell ref="A50:XFD50"/>
    <mergeCell ref="A58:XFD58"/>
    <mergeCell ref="A43:XFD43"/>
    <mergeCell ref="A37:XFD37"/>
    <mergeCell ref="A34:XFD34"/>
    <mergeCell ref="A25:XFD25"/>
  </mergeCells>
  <phoneticPr fontId="15" type="noConversion"/>
  <hyperlinks>
    <hyperlink ref="E8" r:id="rId1" display="https://www.maxongroup.de/maxon/view/product/motor/ecmotor/ecflat/ecflat45/651613" xr:uid="{90C09651-31EB-4969-9706-92A14E6BFB31}"/>
    <hyperlink ref="I8" r:id="rId2" display="https://orbexgroup.com/product/ec4527-flat-brushless-dc-motor/" xr:uid="{659EC73C-3284-47FF-8445-CD22AC7C5BFA}"/>
    <hyperlink ref="I9" r:id="rId3" display="https://orbex-group.s3.amazonaws.com/pdfs/flat-motors/EC4527.pdf" xr:uid="{95E8E46B-7238-48E8-B018-BF3425C16044}"/>
    <hyperlink ref="H8" r:id="rId4" display="https://www.delta-line.com/a.pag/45blw21-wires--pzk3010kzczk301.html" xr:uid="{C1CE37E0-751F-4D1D-A796-5DE4B000CB74}"/>
    <hyperlink ref="H9" r:id="rId5" display="https://www.delta-line.com/filedlw.php?id=684" xr:uid="{679FCB09-8FE1-47DA-AFCD-0B6C38BE1C83}"/>
    <hyperlink ref="K8" r:id="rId6" display="https://www.reichelt.de/de/de/shop/produkt/dc-motor_buerstenlos_24_v_52_w_16_5_ncm-271493?PROVID=2788&amp;gad_source=1&amp;gad_campaignid=21157097500&amp;gclid=EAIaIQobChMI-b-8g-S_lQMViIKDBx2iFSdUEAQYASABEgLjavD_BwE" xr:uid="{F5E77F31-93A1-4D01-8E46-FE4A151F624F}"/>
    <hyperlink ref="K9" r:id="rId7" display="https://cdn-reichelt.de/documents/datenblatt/C300/57BL03-1.pdf" xr:uid="{2ECB905A-ECD9-47A8-8933-7F1C84B98F41}"/>
    <hyperlink ref="D8" r:id="rId8" display="https://www.maxongroup.de/maxon/view/product/motor/ecmotor/ecflat/ecflat45/651610?etcc_cu=onsite&amp;etcc_med=Header%20Suche&amp;etcc_cmp=mit%20Ergebnis&amp;etcc_ctv=Layer&amp;query=65161" xr:uid="{A6C627DE-DCA9-47AB-8207-7F5BA6E354BB}"/>
    <hyperlink ref="D9" r:id="rId9" display="https://www.maxongroup.de/medias/sys_master/root/8839889518622/DE-286-2020.pdf" xr:uid="{2913A13F-4900-421F-861F-B228D6C92BFB}"/>
    <hyperlink ref="E9" r:id="rId10" display="https://www.maxongroup.de/medias/sys_master/root/8839889518622/DE-286-2020.pdf" xr:uid="{FCB62A94-187F-44E0-9E17-8C9F587E2538}"/>
    <hyperlink ref="H67" r:id="rId11" display="https://www.delta-line.com/a.pag/45blw21-wires--pzk3010kzczk301.html" xr:uid="{0DB40D8B-5260-41D5-9D08-3BC933D23073}"/>
    <hyperlink ref="I67" r:id="rId12" display="https://orbexgroup.com/product/ec4527-flat-brushless-dc-motor/" xr:uid="{4715D6E3-5AE9-4CF0-8D61-E0FB310FCE90}"/>
    <hyperlink ref="K67" r:id="rId13" display="https://www.reichelt.de/de/de/shop/produkt/dc-motor_buerstenlos_24_v_52_w_16_5_ncm-271493?PROVID=2788&amp;gad_source=1&amp;gad_campaignid=21157097500&amp;gclid=EAIaIQobChMI-b-8g-S_lQMViIKDBx2iFSdUEAQYASABEgLjavD_BwE" xr:uid="{52184A82-7B8D-41F4-A9B6-4919EBBDABD0}"/>
    <hyperlink ref="F9" r:id="rId14" display="https://eshop.faulhaber.com/media/11/32/64/1775629963/DE_4221_BXTR_DFF.pdf" xr:uid="{B6ECA367-C062-47A9-B391-163F6ED06E32}"/>
    <hyperlink ref="F8" r:id="rId15" display="https://eshop.faulhaber.com/de/4221G024BXTR/4221G024BXTR" xr:uid="{792AB3E5-A340-421B-A0F2-8A31FF3F867A}"/>
    <hyperlink ref="G9" r:id="rId16" display="https://eshop.faulhaber.com/media/11/32/64/1775629963/DE_4221_BXTR_DFF.pdf" xr:uid="{A30D89E4-45EF-465F-ACB8-37CF545A2440}"/>
    <hyperlink ref="G8" r:id="rId17" display="https://eshop.faulhaber.com/de/4221G024BXTR/4221G024BXTR" xr:uid="{ED5BBC56-EFD8-4004-B922-0A4522E93DA2}"/>
    <hyperlink ref="J8" r:id="rId18" display="https://orbexgroup.com/product/ec4527-flat-brushless-dc-motor/" xr:uid="{F32518DF-55C6-4978-9CD5-925BAFC17DF3}"/>
    <hyperlink ref="J9" r:id="rId19" display="https://orbex-group.s3.amazonaws.com/pdfs/flat-motors/EC4527.pdf" xr:uid="{CD6F5469-C267-490C-BB9F-E0C0BF69573B}"/>
    <hyperlink ref="G67" r:id="rId20" display="https://at.rs-online.com/web/p/servomotoren/1846937" xr:uid="{773A47E2-0192-41D6-961E-442EBCA5A920}"/>
    <hyperlink ref="J67" r:id="rId21" display="https://orbexgroup.com/product/ec4527-flat-brushless-dc-motor/" xr:uid="{F63257A0-6DA5-45D3-95AE-F2E968A46AA9}"/>
    <hyperlink ref="F67" r:id="rId22" display="https://eshop.faulhaber.com/de/4221G024BXTR-6862/4221G024BXTR-6862" xr:uid="{94FA4946-81E0-4FEF-9C74-0839F9017094}"/>
  </hyperlinks>
  <pageMargins left="0.7" right="0.7" top="0.78740157499999996" bottom="0.78740157499999996" header="0.3" footer="0.3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6CA6-B829-469E-AD74-2024C8CBA449}">
  <dimension ref="B2:Q58"/>
  <sheetViews>
    <sheetView topLeftCell="A3" zoomScale="85" zoomScaleNormal="85" workbookViewId="0">
      <selection activeCell="R35" sqref="R35"/>
    </sheetView>
  </sheetViews>
  <sheetFormatPr baseColWidth="10" defaultRowHeight="14.4" x14ac:dyDescent="0.3"/>
  <cols>
    <col min="1" max="1" width="11.44140625" customWidth="1"/>
    <col min="2" max="2" width="33.88671875" customWidth="1"/>
    <col min="3" max="3" width="14.109375" style="3" customWidth="1"/>
    <col min="6" max="6" width="15.109375" customWidth="1"/>
    <col min="7" max="9" width="14.33203125" customWidth="1"/>
    <col min="10" max="10" width="0.44140625" customWidth="1"/>
    <col min="11" max="11" width="16.44140625" customWidth="1"/>
    <col min="12" max="12" width="15.109375" customWidth="1"/>
    <col min="13" max="13" width="11.44140625" style="7"/>
    <col min="15" max="15" width="34" customWidth="1"/>
  </cols>
  <sheetData>
    <row r="2" spans="2:17" ht="21" x14ac:dyDescent="0.4">
      <c r="B2" s="92" t="s">
        <v>133</v>
      </c>
      <c r="C2" s="92"/>
      <c r="D2" s="92"/>
      <c r="E2" s="92"/>
      <c r="F2" s="92"/>
      <c r="G2" s="92"/>
      <c r="H2" s="92"/>
      <c r="I2" s="92"/>
      <c r="J2" s="92"/>
      <c r="K2" s="92"/>
      <c r="M2" s="92"/>
      <c r="N2" s="92"/>
      <c r="O2" s="92"/>
      <c r="P2" s="92"/>
      <c r="Q2" s="92"/>
    </row>
    <row r="3" spans="2:17" ht="15" customHeight="1" x14ac:dyDescent="0.4">
      <c r="B3" s="8"/>
      <c r="C3" s="8"/>
      <c r="D3" s="8"/>
      <c r="E3" s="8"/>
      <c r="F3" s="8"/>
      <c r="G3" s="8"/>
      <c r="H3" s="8"/>
      <c r="I3" s="8"/>
      <c r="J3" s="8"/>
      <c r="K3" s="8"/>
      <c r="M3" s="17"/>
      <c r="N3" s="8"/>
      <c r="O3" s="8"/>
      <c r="P3" s="8"/>
      <c r="Q3" s="8"/>
    </row>
    <row r="4" spans="2:17" ht="15" customHeight="1" x14ac:dyDescent="0.4">
      <c r="B4" s="8"/>
      <c r="C4" s="8"/>
      <c r="D4" s="93" t="s">
        <v>79</v>
      </c>
      <c r="E4" s="93"/>
      <c r="F4" s="93"/>
      <c r="G4" s="93"/>
      <c r="H4" s="16"/>
      <c r="I4" s="16"/>
      <c r="J4" s="94"/>
      <c r="K4" s="93" t="s">
        <v>96</v>
      </c>
      <c r="L4" s="93"/>
      <c r="M4" s="93"/>
      <c r="N4" s="93"/>
      <c r="O4" s="8"/>
      <c r="P4" s="8"/>
      <c r="Q4" s="8"/>
    </row>
    <row r="5" spans="2:17" x14ac:dyDescent="0.3">
      <c r="J5" s="94"/>
    </row>
    <row r="6" spans="2:17" x14ac:dyDescent="0.3">
      <c r="B6" t="s">
        <v>1</v>
      </c>
      <c r="D6" s="25" t="s">
        <v>137</v>
      </c>
      <c r="E6" t="s">
        <v>66</v>
      </c>
      <c r="F6" t="s">
        <v>9</v>
      </c>
      <c r="G6" s="31" t="s">
        <v>15</v>
      </c>
      <c r="H6" t="s">
        <v>87</v>
      </c>
      <c r="I6" t="s">
        <v>149</v>
      </c>
      <c r="J6" s="94"/>
      <c r="K6" t="s">
        <v>28</v>
      </c>
      <c r="L6" t="s">
        <v>28</v>
      </c>
      <c r="M6" s="7" t="s">
        <v>105</v>
      </c>
      <c r="N6" s="7"/>
      <c r="O6" t="s">
        <v>127</v>
      </c>
    </row>
    <row r="7" spans="2:17" x14ac:dyDescent="0.3">
      <c r="B7" t="s">
        <v>31</v>
      </c>
      <c r="D7" s="25">
        <v>608144</v>
      </c>
      <c r="E7" s="3" t="s">
        <v>23</v>
      </c>
      <c r="F7" t="s">
        <v>10</v>
      </c>
      <c r="G7" t="s">
        <v>77</v>
      </c>
      <c r="H7" t="s">
        <v>84</v>
      </c>
      <c r="I7" t="s">
        <v>98</v>
      </c>
      <c r="J7" s="94"/>
      <c r="K7" t="s">
        <v>135</v>
      </c>
      <c r="L7" t="s">
        <v>80</v>
      </c>
      <c r="M7" s="7" t="s">
        <v>104</v>
      </c>
      <c r="N7" s="3"/>
    </row>
    <row r="8" spans="2:17" x14ac:dyDescent="0.3">
      <c r="B8" t="s">
        <v>78</v>
      </c>
      <c r="D8" s="25"/>
      <c r="E8" s="3"/>
      <c r="G8" s="15">
        <v>200011</v>
      </c>
      <c r="H8" s="15"/>
      <c r="I8" s="15"/>
      <c r="J8" s="94"/>
      <c r="N8" s="3"/>
      <c r="O8" t="s">
        <v>128</v>
      </c>
      <c r="Q8" s="15"/>
    </row>
    <row r="9" spans="2:17" x14ac:dyDescent="0.3">
      <c r="D9" s="25"/>
      <c r="J9" s="94"/>
    </row>
    <row r="10" spans="2:17" x14ac:dyDescent="0.3">
      <c r="B10" t="s">
        <v>146</v>
      </c>
      <c r="D10" s="25"/>
      <c r="E10" s="11" t="b">
        <v>0</v>
      </c>
      <c r="F10" s="11" t="b">
        <v>0</v>
      </c>
      <c r="G10" s="11" t="b">
        <v>1</v>
      </c>
      <c r="H10" s="11" t="b">
        <v>0</v>
      </c>
      <c r="I10" s="11" t="b">
        <v>0</v>
      </c>
      <c r="J10" s="94"/>
      <c r="K10" s="11" t="b">
        <v>0</v>
      </c>
      <c r="L10" s="11" t="b">
        <v>1</v>
      </c>
      <c r="M10" s="11" t="b">
        <v>0</v>
      </c>
    </row>
    <row r="11" spans="2:17" x14ac:dyDescent="0.3">
      <c r="B11" t="s">
        <v>147</v>
      </c>
      <c r="E11" s="11" t="b">
        <v>0</v>
      </c>
      <c r="F11" s="11" t="b">
        <v>0</v>
      </c>
      <c r="G11" s="11" t="b">
        <v>1</v>
      </c>
      <c r="H11" s="11" t="b">
        <v>0</v>
      </c>
      <c r="I11" s="11" t="b">
        <v>0</v>
      </c>
      <c r="J11" s="94"/>
      <c r="K11" s="11" t="b">
        <v>0</v>
      </c>
      <c r="L11" s="11" t="b">
        <v>1</v>
      </c>
      <c r="M11" s="11" t="b">
        <v>0</v>
      </c>
    </row>
    <row r="12" spans="2:17" x14ac:dyDescent="0.3">
      <c r="J12" s="94"/>
    </row>
    <row r="13" spans="2:17" x14ac:dyDescent="0.3">
      <c r="B13" t="s">
        <v>3</v>
      </c>
      <c r="D13" s="26">
        <v>8</v>
      </c>
      <c r="E13" s="7">
        <v>8</v>
      </c>
      <c r="F13" s="7">
        <v>8</v>
      </c>
      <c r="G13" s="7">
        <v>8</v>
      </c>
      <c r="H13" s="7">
        <v>8</v>
      </c>
      <c r="I13" s="7">
        <v>8</v>
      </c>
      <c r="J13" s="94"/>
      <c r="K13" s="7">
        <v>7</v>
      </c>
      <c r="L13" s="7">
        <v>7</v>
      </c>
      <c r="M13" s="13" t="s">
        <v>72</v>
      </c>
      <c r="N13" s="7"/>
      <c r="O13" s="20" t="s">
        <v>106</v>
      </c>
    </row>
    <row r="14" spans="2:17" x14ac:dyDescent="0.3">
      <c r="B14" t="s">
        <v>63</v>
      </c>
      <c r="D14" s="26">
        <v>3</v>
      </c>
      <c r="E14" s="7">
        <v>3</v>
      </c>
      <c r="F14" s="7">
        <v>3</v>
      </c>
      <c r="G14" s="7">
        <v>3</v>
      </c>
      <c r="H14" s="7">
        <v>3</v>
      </c>
      <c r="I14" s="7">
        <v>3</v>
      </c>
      <c r="J14" s="94"/>
      <c r="K14" s="7">
        <v>3</v>
      </c>
      <c r="L14" s="7">
        <v>3</v>
      </c>
      <c r="M14" s="13" t="s">
        <v>72</v>
      </c>
      <c r="N14" s="7"/>
      <c r="O14">
        <v>3</v>
      </c>
    </row>
    <row r="15" spans="2:17" x14ac:dyDescent="0.3">
      <c r="B15" t="s">
        <v>64</v>
      </c>
      <c r="C15" s="3" t="s">
        <v>65</v>
      </c>
      <c r="D15" s="26">
        <v>147.1</v>
      </c>
      <c r="E15" s="7">
        <v>160</v>
      </c>
      <c r="F15" s="7">
        <v>160</v>
      </c>
      <c r="G15" s="7">
        <v>141</v>
      </c>
      <c r="H15" s="7">
        <v>150</v>
      </c>
      <c r="I15" s="7">
        <v>150</v>
      </c>
      <c r="J15" s="94"/>
      <c r="K15" s="7">
        <v>142</v>
      </c>
      <c r="L15" s="22">
        <v>127</v>
      </c>
      <c r="M15" s="7">
        <v>360</v>
      </c>
      <c r="N15" s="7"/>
      <c r="O15" s="3" t="s">
        <v>107</v>
      </c>
    </row>
    <row r="16" spans="2:17" x14ac:dyDescent="0.3">
      <c r="B16" t="s">
        <v>95</v>
      </c>
      <c r="C16" s="10"/>
      <c r="D16" s="27" t="b">
        <v>1</v>
      </c>
      <c r="E16" s="12" t="b">
        <v>1</v>
      </c>
      <c r="F16" s="12" t="b">
        <v>1</v>
      </c>
      <c r="G16" s="12" t="b">
        <v>1</v>
      </c>
      <c r="H16" s="12" t="b">
        <v>1</v>
      </c>
      <c r="I16" s="12" t="b">
        <v>1</v>
      </c>
      <c r="J16" s="94"/>
      <c r="K16" s="12" t="b">
        <v>1</v>
      </c>
      <c r="L16" s="11" t="b">
        <v>1</v>
      </c>
      <c r="M16" s="12" t="b">
        <v>1</v>
      </c>
      <c r="O16" s="11" t="b">
        <v>1</v>
      </c>
    </row>
    <row r="17" spans="2:15" x14ac:dyDescent="0.3">
      <c r="D17" s="26"/>
      <c r="E17" s="7"/>
      <c r="F17" s="7"/>
      <c r="G17" s="7"/>
      <c r="H17" s="7"/>
      <c r="I17" s="7"/>
      <c r="J17" s="94"/>
      <c r="K17" s="7"/>
    </row>
    <row r="18" spans="2:15" x14ac:dyDescent="0.3">
      <c r="B18" t="s">
        <v>38</v>
      </c>
      <c r="C18" s="3" t="s">
        <v>39</v>
      </c>
      <c r="D18" s="26">
        <v>42</v>
      </c>
      <c r="E18" s="13" t="s">
        <v>72</v>
      </c>
      <c r="F18" s="13" t="s">
        <v>72</v>
      </c>
      <c r="G18" s="13" t="s">
        <v>72</v>
      </c>
      <c r="H18" s="13" t="s">
        <v>72</v>
      </c>
      <c r="I18" s="13" t="s">
        <v>72</v>
      </c>
      <c r="J18" s="94"/>
      <c r="K18" s="13" t="s">
        <v>72</v>
      </c>
      <c r="L18" s="13" t="s">
        <v>72</v>
      </c>
      <c r="M18" s="13" t="s">
        <v>72</v>
      </c>
      <c r="N18" s="13"/>
      <c r="O18" s="13" t="s">
        <v>72</v>
      </c>
    </row>
    <row r="19" spans="2:15" x14ac:dyDescent="0.3">
      <c r="D19" s="26"/>
      <c r="E19" s="7"/>
      <c r="F19" s="7"/>
      <c r="G19" s="7"/>
      <c r="H19" s="7"/>
      <c r="I19" s="7"/>
      <c r="J19" s="94"/>
      <c r="K19" s="7"/>
      <c r="N19" s="23"/>
    </row>
    <row r="20" spans="2:15" x14ac:dyDescent="0.3">
      <c r="B20" t="s">
        <v>33</v>
      </c>
      <c r="D20" s="26">
        <v>5600</v>
      </c>
      <c r="E20" s="13" t="s">
        <v>72</v>
      </c>
      <c r="F20" s="7">
        <v>6100</v>
      </c>
      <c r="G20" s="21">
        <v>6110</v>
      </c>
      <c r="H20" s="7">
        <v>6100</v>
      </c>
      <c r="I20" s="7">
        <v>6100</v>
      </c>
      <c r="J20" s="94"/>
      <c r="K20" s="7">
        <v>6040</v>
      </c>
      <c r="L20" s="7">
        <v>5960</v>
      </c>
      <c r="M20" s="22">
        <v>4000</v>
      </c>
      <c r="O20" s="3" t="s">
        <v>108</v>
      </c>
    </row>
    <row r="21" spans="2:15" x14ac:dyDescent="0.3">
      <c r="B21" t="s">
        <v>34</v>
      </c>
      <c r="C21" s="3" t="s">
        <v>41</v>
      </c>
      <c r="D21" s="26">
        <v>270</v>
      </c>
      <c r="E21" s="21">
        <v>500</v>
      </c>
      <c r="F21" s="21">
        <v>500</v>
      </c>
      <c r="G21" s="7">
        <v>400</v>
      </c>
      <c r="H21" s="21">
        <v>500</v>
      </c>
      <c r="I21" s="7">
        <v>0.5</v>
      </c>
      <c r="J21" s="94"/>
      <c r="K21" s="22">
        <v>139</v>
      </c>
      <c r="L21" s="7">
        <v>186</v>
      </c>
      <c r="M21" s="7">
        <v>500</v>
      </c>
      <c r="O21" s="3" t="s">
        <v>112</v>
      </c>
    </row>
    <row r="22" spans="2:15" x14ac:dyDescent="0.3">
      <c r="D22" s="26"/>
      <c r="E22" s="7"/>
      <c r="F22" s="7"/>
      <c r="G22" s="7"/>
      <c r="H22" s="7"/>
      <c r="I22" s="7"/>
      <c r="J22" s="94"/>
      <c r="K22" s="7"/>
    </row>
    <row r="23" spans="2:15" x14ac:dyDescent="0.3">
      <c r="B23" t="s">
        <v>32</v>
      </c>
      <c r="C23" s="3" t="s">
        <v>40</v>
      </c>
      <c r="D23" s="26">
        <v>24</v>
      </c>
      <c r="E23" s="7">
        <v>24</v>
      </c>
      <c r="F23" s="7">
        <v>24</v>
      </c>
      <c r="G23" s="7">
        <v>24</v>
      </c>
      <c r="H23" s="7">
        <v>24</v>
      </c>
      <c r="I23" s="7">
        <v>24</v>
      </c>
      <c r="J23" s="94"/>
      <c r="K23" s="7">
        <v>24</v>
      </c>
      <c r="L23" s="7">
        <v>24</v>
      </c>
      <c r="M23" s="7">
        <v>24</v>
      </c>
      <c r="N23" s="7"/>
      <c r="O23" s="14" t="s">
        <v>111</v>
      </c>
    </row>
    <row r="24" spans="2:15" x14ac:dyDescent="0.3">
      <c r="B24" t="s">
        <v>36</v>
      </c>
      <c r="C24" s="3" t="s">
        <v>39</v>
      </c>
      <c r="D24" s="26">
        <v>3.96</v>
      </c>
      <c r="E24" s="7">
        <v>3.5</v>
      </c>
      <c r="F24" s="7">
        <v>3.5</v>
      </c>
      <c r="G24" s="7">
        <v>3.21</v>
      </c>
      <c r="H24" s="7">
        <v>3.6</v>
      </c>
      <c r="I24" s="7">
        <v>3.26</v>
      </c>
      <c r="J24" s="94"/>
      <c r="K24" s="22">
        <v>2.78</v>
      </c>
      <c r="L24" s="7">
        <v>3.17</v>
      </c>
      <c r="M24" s="21">
        <v>4.5</v>
      </c>
      <c r="N24" s="7"/>
      <c r="O24" s="3" t="s">
        <v>110</v>
      </c>
    </row>
    <row r="25" spans="2:15" x14ac:dyDescent="0.3">
      <c r="B25" t="s">
        <v>11</v>
      </c>
      <c r="C25" s="3" t="s">
        <v>67</v>
      </c>
      <c r="D25" s="26">
        <v>80</v>
      </c>
      <c r="E25" s="13" t="s">
        <v>72</v>
      </c>
      <c r="F25" s="7">
        <v>65</v>
      </c>
      <c r="G25" s="7">
        <v>62.5</v>
      </c>
      <c r="H25" s="7">
        <v>70</v>
      </c>
      <c r="I25" s="7">
        <v>66</v>
      </c>
      <c r="J25" s="94"/>
      <c r="K25" s="22">
        <v>60</v>
      </c>
      <c r="L25" s="21">
        <v>100</v>
      </c>
      <c r="M25" s="7">
        <v>77</v>
      </c>
      <c r="N25" s="7"/>
      <c r="O25" s="3" t="s">
        <v>109</v>
      </c>
    </row>
    <row r="26" spans="2:15" x14ac:dyDescent="0.3">
      <c r="B26" t="s">
        <v>37</v>
      </c>
      <c r="D26" s="26">
        <v>4560</v>
      </c>
      <c r="E26" s="7">
        <v>4840</v>
      </c>
      <c r="F26" s="7">
        <v>4840</v>
      </c>
      <c r="G26" s="21">
        <v>4860</v>
      </c>
      <c r="H26" s="7">
        <v>4850</v>
      </c>
      <c r="I26" s="7">
        <v>4840</v>
      </c>
      <c r="J26" s="94"/>
      <c r="K26" s="7">
        <v>4380</v>
      </c>
      <c r="L26" s="7">
        <v>4180</v>
      </c>
      <c r="M26" s="22">
        <v>3000</v>
      </c>
      <c r="N26" s="7"/>
      <c r="O26" s="3" t="s">
        <v>113</v>
      </c>
    </row>
    <row r="27" spans="2:15" x14ac:dyDescent="0.3">
      <c r="B27" t="s">
        <v>35</v>
      </c>
      <c r="C27" s="3" t="s">
        <v>42</v>
      </c>
      <c r="D27" s="26">
        <v>167</v>
      </c>
      <c r="E27" s="7">
        <v>130</v>
      </c>
      <c r="F27" s="7">
        <v>130</v>
      </c>
      <c r="G27" s="7">
        <v>128</v>
      </c>
      <c r="H27" s="7">
        <v>130</v>
      </c>
      <c r="I27" s="7">
        <v>130</v>
      </c>
      <c r="J27" s="94"/>
      <c r="K27" s="22">
        <v>112</v>
      </c>
      <c r="L27" s="7">
        <v>127</v>
      </c>
      <c r="M27" s="21">
        <v>250</v>
      </c>
      <c r="N27" s="7"/>
      <c r="O27" s="14" t="s">
        <v>114</v>
      </c>
    </row>
    <row r="28" spans="2:15" x14ac:dyDescent="0.3">
      <c r="B28" t="s">
        <v>73</v>
      </c>
      <c r="C28" s="3" t="s">
        <v>39</v>
      </c>
      <c r="D28" s="28" t="s">
        <v>72</v>
      </c>
      <c r="E28" s="7">
        <v>10</v>
      </c>
      <c r="F28" s="7">
        <v>10</v>
      </c>
      <c r="G28" s="21">
        <v>39.5</v>
      </c>
      <c r="H28" s="13" t="s">
        <v>72</v>
      </c>
      <c r="I28" s="22">
        <v>9.5</v>
      </c>
      <c r="J28" s="94"/>
      <c r="K28" s="13" t="s">
        <v>72</v>
      </c>
      <c r="L28" s="9" t="s">
        <v>72</v>
      </c>
      <c r="M28" s="9" t="s">
        <v>72</v>
      </c>
      <c r="O28" s="3" t="s">
        <v>115</v>
      </c>
    </row>
    <row r="29" spans="2:15" x14ac:dyDescent="0.3">
      <c r="B29" t="s">
        <v>75</v>
      </c>
      <c r="C29" s="3" t="s">
        <v>42</v>
      </c>
      <c r="D29" s="28" t="s">
        <v>72</v>
      </c>
      <c r="E29" s="7">
        <v>390</v>
      </c>
      <c r="F29" s="7">
        <v>390</v>
      </c>
      <c r="G29" s="21">
        <v>1150</v>
      </c>
      <c r="H29" s="13" t="s">
        <v>72</v>
      </c>
      <c r="I29" s="22">
        <v>390</v>
      </c>
      <c r="J29" s="94"/>
      <c r="K29" s="13" t="s">
        <v>72</v>
      </c>
      <c r="L29" s="9" t="s">
        <v>72</v>
      </c>
      <c r="M29" s="9" t="s">
        <v>72</v>
      </c>
      <c r="O29" s="3" t="s">
        <v>116</v>
      </c>
    </row>
    <row r="30" spans="2:15" x14ac:dyDescent="0.3">
      <c r="B30" t="s">
        <v>43</v>
      </c>
      <c r="C30" s="3" t="s">
        <v>44</v>
      </c>
      <c r="D30" s="26">
        <v>84.9</v>
      </c>
      <c r="E30" s="13" t="s">
        <v>72</v>
      </c>
      <c r="F30" s="13" t="s">
        <v>72</v>
      </c>
      <c r="G30" s="22">
        <v>85</v>
      </c>
      <c r="H30" s="13" t="s">
        <v>72</v>
      </c>
      <c r="I30" s="13" t="s">
        <v>72</v>
      </c>
      <c r="J30" s="94"/>
      <c r="K30" s="21">
        <v>87</v>
      </c>
      <c r="L30" s="21">
        <v>87</v>
      </c>
      <c r="M30" s="22">
        <v>85</v>
      </c>
      <c r="O30" s="3" t="s">
        <v>129</v>
      </c>
    </row>
    <row r="31" spans="2:15" x14ac:dyDescent="0.3">
      <c r="D31" s="26"/>
      <c r="E31" s="7"/>
      <c r="F31" s="7"/>
      <c r="G31" s="7"/>
      <c r="H31" s="7"/>
      <c r="I31" s="7"/>
      <c r="J31" s="94"/>
      <c r="K31" s="7"/>
    </row>
    <row r="32" spans="2:15" x14ac:dyDescent="0.3">
      <c r="B32" t="s">
        <v>45</v>
      </c>
      <c r="C32" s="3" t="s">
        <v>74</v>
      </c>
      <c r="D32" s="26">
        <v>573</v>
      </c>
      <c r="E32" s="7">
        <v>560</v>
      </c>
      <c r="F32" s="7">
        <v>560</v>
      </c>
      <c r="G32" s="22">
        <v>550</v>
      </c>
      <c r="H32" s="7">
        <v>560</v>
      </c>
      <c r="I32" s="7">
        <v>560</v>
      </c>
      <c r="J32" s="94"/>
      <c r="K32" s="21">
        <v>740</v>
      </c>
      <c r="L32" s="21">
        <v>740</v>
      </c>
      <c r="M32" s="13" t="s">
        <v>72</v>
      </c>
      <c r="O32" s="3" t="s">
        <v>117</v>
      </c>
    </row>
    <row r="33" spans="2:15" x14ac:dyDescent="0.3">
      <c r="B33" t="s">
        <v>46</v>
      </c>
      <c r="C33" s="3" t="s">
        <v>81</v>
      </c>
      <c r="D33" s="26">
        <v>301</v>
      </c>
      <c r="E33" s="7">
        <v>270</v>
      </c>
      <c r="F33" s="7">
        <v>270</v>
      </c>
      <c r="G33" s="22">
        <v>220</v>
      </c>
      <c r="H33" s="7">
        <v>270</v>
      </c>
      <c r="I33" s="7">
        <v>270</v>
      </c>
      <c r="J33" s="94"/>
      <c r="K33" s="21">
        <v>664</v>
      </c>
      <c r="L33" s="21">
        <v>664</v>
      </c>
      <c r="M33" s="13" t="s">
        <v>72</v>
      </c>
      <c r="O33" s="3" t="s">
        <v>118</v>
      </c>
    </row>
    <row r="34" spans="2:15" x14ac:dyDescent="0.3">
      <c r="D34" s="26"/>
      <c r="E34" s="7"/>
      <c r="F34" s="7"/>
      <c r="G34" s="7"/>
      <c r="H34" s="7"/>
      <c r="I34" s="7"/>
      <c r="J34" s="94"/>
      <c r="K34" s="13"/>
    </row>
    <row r="35" spans="2:15" x14ac:dyDescent="0.3">
      <c r="B35" t="s">
        <v>47</v>
      </c>
      <c r="C35" s="3" t="s">
        <v>52</v>
      </c>
      <c r="D35" s="26">
        <v>40.4</v>
      </c>
      <c r="E35" s="7">
        <v>37</v>
      </c>
      <c r="F35" s="22">
        <v>36.9</v>
      </c>
      <c r="G35" s="7">
        <v>37.17</v>
      </c>
      <c r="H35" s="7">
        <v>37.200000000000003</v>
      </c>
      <c r="I35" s="22">
        <v>36.9</v>
      </c>
      <c r="J35" s="94"/>
      <c r="K35" s="21">
        <v>37.700000000000003</v>
      </c>
      <c r="L35" s="21">
        <v>37.700000000000003</v>
      </c>
      <c r="M35" s="13" t="s">
        <v>72</v>
      </c>
      <c r="O35" s="3" t="s">
        <v>119</v>
      </c>
    </row>
    <row r="36" spans="2:15" x14ac:dyDescent="0.3">
      <c r="B36" t="s">
        <v>48</v>
      </c>
      <c r="D36" s="26">
        <v>236</v>
      </c>
      <c r="E36" s="13" t="s">
        <v>72</v>
      </c>
      <c r="F36" s="13" t="s">
        <v>72</v>
      </c>
      <c r="G36" s="7">
        <v>257</v>
      </c>
      <c r="H36" s="13" t="s">
        <v>72</v>
      </c>
      <c r="I36" s="13" t="s">
        <v>72</v>
      </c>
      <c r="J36" s="94"/>
      <c r="K36" s="21">
        <v>1000</v>
      </c>
      <c r="L36" s="22">
        <v>253</v>
      </c>
      <c r="M36" s="13" t="s">
        <v>72</v>
      </c>
    </row>
    <row r="37" spans="2:15" x14ac:dyDescent="0.3">
      <c r="B37" t="s">
        <v>49</v>
      </c>
      <c r="D37" s="26">
        <v>3.35</v>
      </c>
      <c r="E37" s="13" t="s">
        <v>72</v>
      </c>
      <c r="F37" s="13" t="s">
        <v>72</v>
      </c>
      <c r="G37" s="21">
        <v>5.31</v>
      </c>
      <c r="H37" s="13" t="s">
        <v>72</v>
      </c>
      <c r="I37" s="13" t="s">
        <v>72</v>
      </c>
      <c r="J37" s="94"/>
      <c r="K37" s="22">
        <v>4.97</v>
      </c>
      <c r="L37" s="22">
        <v>4.97</v>
      </c>
      <c r="M37" s="13" t="s">
        <v>72</v>
      </c>
    </row>
    <row r="38" spans="2:15" x14ac:dyDescent="0.3">
      <c r="B38" t="s">
        <v>50</v>
      </c>
      <c r="C38" s="3" t="s">
        <v>53</v>
      </c>
      <c r="D38" s="26">
        <v>6.35</v>
      </c>
      <c r="E38" s="13" t="s">
        <v>72</v>
      </c>
      <c r="F38" s="13" t="s">
        <v>72</v>
      </c>
      <c r="G38" s="21">
        <v>8.1</v>
      </c>
      <c r="H38" s="13" t="s">
        <v>72</v>
      </c>
      <c r="I38" s="13" t="s">
        <v>72</v>
      </c>
      <c r="J38" s="94"/>
      <c r="K38" s="22">
        <v>3.59</v>
      </c>
      <c r="L38" s="23">
        <v>3.59</v>
      </c>
      <c r="O38" s="3" t="s">
        <v>130</v>
      </c>
    </row>
    <row r="39" spans="2:15" x14ac:dyDescent="0.3">
      <c r="B39" t="s">
        <v>51</v>
      </c>
      <c r="D39" s="26">
        <v>181</v>
      </c>
      <c r="E39" s="21">
        <v>181</v>
      </c>
      <c r="F39" s="21">
        <v>181</v>
      </c>
      <c r="G39" s="21">
        <v>181</v>
      </c>
      <c r="H39" s="21">
        <v>181</v>
      </c>
      <c r="I39" s="21">
        <v>181</v>
      </c>
      <c r="J39" s="94"/>
      <c r="K39" s="22">
        <v>69</v>
      </c>
      <c r="L39" s="22">
        <v>69</v>
      </c>
    </row>
    <row r="40" spans="2:15" x14ac:dyDescent="0.3">
      <c r="D40" s="26"/>
      <c r="E40" s="7"/>
      <c r="F40" s="7"/>
      <c r="G40" s="7"/>
      <c r="H40" s="7"/>
      <c r="I40" s="7"/>
      <c r="J40" s="94"/>
      <c r="K40" s="7"/>
    </row>
    <row r="41" spans="2:15" x14ac:dyDescent="0.3">
      <c r="B41" t="s">
        <v>55</v>
      </c>
      <c r="C41" s="3" t="s">
        <v>54</v>
      </c>
      <c r="D41" s="26">
        <v>6.54</v>
      </c>
      <c r="E41" s="13" t="s">
        <v>72</v>
      </c>
      <c r="F41" s="13" t="s">
        <v>72</v>
      </c>
      <c r="G41" s="13" t="s">
        <v>72</v>
      </c>
      <c r="H41" s="13" t="s">
        <v>72</v>
      </c>
      <c r="I41" s="13" t="s">
        <v>72</v>
      </c>
      <c r="J41" s="94"/>
      <c r="K41" s="13" t="s">
        <v>72</v>
      </c>
      <c r="L41" s="13" t="s">
        <v>72</v>
      </c>
      <c r="M41" s="13" t="s">
        <v>72</v>
      </c>
      <c r="N41" s="13"/>
      <c r="O41" s="13" t="s">
        <v>72</v>
      </c>
    </row>
    <row r="42" spans="2:15" x14ac:dyDescent="0.3">
      <c r="B42" t="s">
        <v>56</v>
      </c>
      <c r="C42" s="3" t="s">
        <v>57</v>
      </c>
      <c r="D42" s="26">
        <v>34</v>
      </c>
      <c r="E42" s="13" t="s">
        <v>72</v>
      </c>
      <c r="F42" s="13" t="s">
        <v>72</v>
      </c>
      <c r="G42" s="13" t="s">
        <v>72</v>
      </c>
      <c r="H42" s="13" t="s">
        <v>72</v>
      </c>
      <c r="I42" s="13" t="s">
        <v>72</v>
      </c>
      <c r="J42" s="94"/>
      <c r="K42" s="13" t="s">
        <v>72</v>
      </c>
      <c r="L42" s="13" t="s">
        <v>72</v>
      </c>
      <c r="M42" s="13" t="s">
        <v>72</v>
      </c>
      <c r="N42" s="13"/>
      <c r="O42" s="13" t="s">
        <v>72</v>
      </c>
    </row>
    <row r="43" spans="2:15" x14ac:dyDescent="0.3">
      <c r="B43" t="s">
        <v>60</v>
      </c>
      <c r="C43" s="3" t="s">
        <v>58</v>
      </c>
      <c r="D43" s="26">
        <v>-40</v>
      </c>
      <c r="E43" s="13" t="s">
        <v>72</v>
      </c>
      <c r="F43" s="21">
        <v>-20</v>
      </c>
      <c r="G43" s="22">
        <v>-40</v>
      </c>
      <c r="H43" s="21">
        <v>-20</v>
      </c>
      <c r="I43" s="7">
        <v>-25</v>
      </c>
      <c r="J43" s="94"/>
      <c r="K43" s="22">
        <v>-40</v>
      </c>
      <c r="L43" s="22">
        <v>-40</v>
      </c>
      <c r="M43" s="13" t="s">
        <v>72</v>
      </c>
      <c r="N43" s="7"/>
      <c r="O43" s="3" t="s">
        <v>120</v>
      </c>
    </row>
    <row r="44" spans="2:15" x14ac:dyDescent="0.3">
      <c r="B44" t="s">
        <v>59</v>
      </c>
      <c r="C44" s="3" t="s">
        <v>58</v>
      </c>
      <c r="D44" s="26">
        <v>100</v>
      </c>
      <c r="E44" s="13" t="s">
        <v>72</v>
      </c>
      <c r="F44" s="7">
        <v>55</v>
      </c>
      <c r="G44" s="21">
        <v>100</v>
      </c>
      <c r="H44" s="22">
        <v>50</v>
      </c>
      <c r="I44" s="7">
        <v>55</v>
      </c>
      <c r="J44" s="94"/>
      <c r="K44" s="21">
        <v>100</v>
      </c>
      <c r="L44" s="21">
        <v>100</v>
      </c>
      <c r="M44" s="13" t="s">
        <v>72</v>
      </c>
      <c r="N44" s="7"/>
      <c r="O44" s="3" t="s">
        <v>121</v>
      </c>
    </row>
    <row r="45" spans="2:15" x14ac:dyDescent="0.3">
      <c r="B45" t="s">
        <v>61</v>
      </c>
      <c r="C45" s="3" t="s">
        <v>58</v>
      </c>
      <c r="D45" s="26">
        <v>125</v>
      </c>
      <c r="E45" s="13" t="s">
        <v>72</v>
      </c>
      <c r="F45" s="22">
        <v>80</v>
      </c>
      <c r="G45" s="21">
        <v>125</v>
      </c>
      <c r="H45" s="22">
        <v>80</v>
      </c>
      <c r="I45" s="13" t="s">
        <v>72</v>
      </c>
      <c r="J45" s="94"/>
      <c r="K45" s="21">
        <v>125</v>
      </c>
      <c r="L45" s="21">
        <v>125</v>
      </c>
      <c r="M45" s="13" t="s">
        <v>72</v>
      </c>
      <c r="O45" s="3" t="s">
        <v>122</v>
      </c>
    </row>
    <row r="46" spans="2:15" x14ac:dyDescent="0.3">
      <c r="D46" s="26"/>
      <c r="E46" s="7"/>
      <c r="F46" s="7"/>
      <c r="G46" s="7"/>
      <c r="H46" s="7"/>
      <c r="I46" s="7"/>
      <c r="J46" s="94"/>
      <c r="K46" s="7"/>
    </row>
    <row r="47" spans="2:15" x14ac:dyDescent="0.3">
      <c r="B47" t="s">
        <v>62</v>
      </c>
      <c r="D47" s="26">
        <v>10000</v>
      </c>
      <c r="E47" s="13" t="s">
        <v>72</v>
      </c>
      <c r="F47" s="13" t="s">
        <v>72</v>
      </c>
      <c r="G47" s="7">
        <v>10000</v>
      </c>
      <c r="H47" s="13" t="s">
        <v>72</v>
      </c>
      <c r="I47" s="13" t="s">
        <v>72</v>
      </c>
      <c r="J47" s="94"/>
      <c r="K47" s="7">
        <v>10000</v>
      </c>
      <c r="L47" s="7">
        <v>10000</v>
      </c>
      <c r="M47" s="13" t="s">
        <v>72</v>
      </c>
    </row>
    <row r="48" spans="2:15" x14ac:dyDescent="0.3">
      <c r="B48" t="s">
        <v>83</v>
      </c>
      <c r="C48" s="3" t="s">
        <v>70</v>
      </c>
      <c r="D48" s="26">
        <v>43.5</v>
      </c>
      <c r="E48" s="7">
        <v>45</v>
      </c>
      <c r="F48" s="7">
        <v>45</v>
      </c>
      <c r="G48" s="22">
        <v>42</v>
      </c>
      <c r="H48" s="7">
        <v>43.2</v>
      </c>
      <c r="I48" s="7">
        <v>43.2</v>
      </c>
      <c r="J48" s="94"/>
      <c r="K48" s="22">
        <v>42</v>
      </c>
      <c r="L48" s="22">
        <v>42</v>
      </c>
      <c r="M48" s="14">
        <v>42.4</v>
      </c>
      <c r="O48" s="3" t="s">
        <v>123</v>
      </c>
    </row>
    <row r="49" spans="2:15" x14ac:dyDescent="0.3">
      <c r="B49" t="s">
        <v>82</v>
      </c>
      <c r="C49" s="3" t="s">
        <v>70</v>
      </c>
      <c r="D49" s="26">
        <v>27</v>
      </c>
      <c r="E49" s="21">
        <v>29</v>
      </c>
      <c r="F49" s="21">
        <v>29</v>
      </c>
      <c r="G49" s="7">
        <v>26.7</v>
      </c>
      <c r="H49" s="7">
        <v>27</v>
      </c>
      <c r="I49" s="7">
        <v>27</v>
      </c>
      <c r="J49" s="94"/>
      <c r="K49" s="7">
        <v>28</v>
      </c>
      <c r="L49" s="22">
        <v>21.2</v>
      </c>
      <c r="M49" s="18">
        <v>66</v>
      </c>
      <c r="O49" s="3" t="s">
        <v>124</v>
      </c>
    </row>
    <row r="50" spans="2:15" x14ac:dyDescent="0.3">
      <c r="B50" t="s">
        <v>69</v>
      </c>
      <c r="C50" s="3" t="s">
        <v>70</v>
      </c>
      <c r="D50" s="26">
        <v>4</v>
      </c>
      <c r="E50" s="22">
        <v>4</v>
      </c>
      <c r="F50" s="22">
        <v>4</v>
      </c>
      <c r="G50" s="22">
        <v>4</v>
      </c>
      <c r="H50" s="22">
        <v>4</v>
      </c>
      <c r="I50" s="22">
        <v>4</v>
      </c>
      <c r="J50" s="94"/>
      <c r="K50" s="21">
        <v>5</v>
      </c>
      <c r="L50" s="21">
        <v>5</v>
      </c>
      <c r="M50" s="18">
        <v>5</v>
      </c>
      <c r="O50" s="3" t="s">
        <v>125</v>
      </c>
    </row>
    <row r="51" spans="2:15" x14ac:dyDescent="0.3">
      <c r="B51" t="s">
        <v>68</v>
      </c>
      <c r="C51" s="3" t="s">
        <v>70</v>
      </c>
      <c r="D51" s="26">
        <v>16.8</v>
      </c>
      <c r="E51" s="21">
        <v>17.399999999999999</v>
      </c>
      <c r="F51" s="21">
        <v>17.399999999999999</v>
      </c>
      <c r="G51" s="22">
        <v>6.8</v>
      </c>
      <c r="H51" s="21">
        <v>17.399999999999999</v>
      </c>
      <c r="I51" s="21">
        <v>17.399999999999999</v>
      </c>
      <c r="J51" s="94"/>
      <c r="K51" s="7">
        <v>11.5</v>
      </c>
      <c r="L51" s="7">
        <v>11.5</v>
      </c>
      <c r="M51" s="14">
        <v>13</v>
      </c>
      <c r="O51" s="3" t="s">
        <v>131</v>
      </c>
    </row>
    <row r="52" spans="2:15" x14ac:dyDescent="0.3">
      <c r="B52" t="s">
        <v>71</v>
      </c>
      <c r="C52" s="3" t="s">
        <v>70</v>
      </c>
      <c r="D52" s="26">
        <v>47</v>
      </c>
      <c r="E52" s="7">
        <v>46.6</v>
      </c>
      <c r="F52" s="7">
        <v>46.6</v>
      </c>
      <c r="G52" s="7">
        <v>36.700000000000003</v>
      </c>
      <c r="H52" s="7">
        <v>44.4</v>
      </c>
      <c r="I52" s="21">
        <v>47.6</v>
      </c>
      <c r="J52" s="94"/>
      <c r="K52" s="7">
        <v>41</v>
      </c>
      <c r="L52" s="22">
        <v>34.200000000000003</v>
      </c>
      <c r="M52" s="18">
        <v>81</v>
      </c>
      <c r="O52" s="3" t="s">
        <v>126</v>
      </c>
    </row>
    <row r="53" spans="2:15" x14ac:dyDescent="0.3">
      <c r="B53" t="s">
        <v>134</v>
      </c>
      <c r="C53" s="3" t="s">
        <v>70</v>
      </c>
      <c r="D53" s="26">
        <v>12</v>
      </c>
      <c r="E53" s="29">
        <v>16</v>
      </c>
      <c r="F53" s="29">
        <v>16</v>
      </c>
      <c r="G53" s="22">
        <v>12</v>
      </c>
      <c r="H53" s="22">
        <v>12</v>
      </c>
      <c r="I53" s="29">
        <v>16</v>
      </c>
      <c r="J53" s="94"/>
      <c r="K53" s="29">
        <v>16</v>
      </c>
      <c r="L53" s="29">
        <v>16</v>
      </c>
      <c r="M53" s="21">
        <v>17.5</v>
      </c>
      <c r="O53" s="3" t="s">
        <v>136</v>
      </c>
    </row>
    <row r="54" spans="2:15" x14ac:dyDescent="0.3">
      <c r="J54" s="94"/>
    </row>
    <row r="55" spans="2:15" x14ac:dyDescent="0.3">
      <c r="J55" s="94"/>
    </row>
    <row r="56" spans="2:15" x14ac:dyDescent="0.3">
      <c r="J56" s="94"/>
      <c r="K56" s="24"/>
    </row>
    <row r="57" spans="2:15" x14ac:dyDescent="0.3">
      <c r="J57" s="94"/>
    </row>
    <row r="58" spans="2:15" x14ac:dyDescent="0.3">
      <c r="J58" s="94"/>
    </row>
  </sheetData>
  <mergeCells count="5">
    <mergeCell ref="B2:K2"/>
    <mergeCell ref="M2:Q2"/>
    <mergeCell ref="D4:G4"/>
    <mergeCell ref="K4:N4"/>
    <mergeCell ref="J4:J58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34DD2-4061-4273-AF64-30B9F98745A7}">
  <dimension ref="B2:U75"/>
  <sheetViews>
    <sheetView workbookViewId="0">
      <selection activeCell="G59" sqref="G59"/>
    </sheetView>
  </sheetViews>
  <sheetFormatPr baseColWidth="10" defaultRowHeight="14.4" x14ac:dyDescent="0.3"/>
  <cols>
    <col min="2" max="2" width="33.88671875" customWidth="1"/>
    <col min="3" max="3" width="14.109375" style="3" customWidth="1"/>
    <col min="4" max="4" width="13.6640625" customWidth="1"/>
    <col min="5" max="5" width="19" customWidth="1"/>
    <col min="6" max="6" width="13" style="30" customWidth="1"/>
    <col min="7" max="7" width="15.109375" style="30" customWidth="1"/>
    <col min="8" max="8" width="15.44140625" style="30" customWidth="1"/>
    <col min="9" max="9" width="14.33203125" style="30" customWidth="1"/>
    <col min="10" max="10" width="14.33203125" customWidth="1"/>
    <col min="11" max="11" width="0.6640625" style="56" customWidth="1"/>
    <col min="12" max="12" width="14.33203125" customWidth="1"/>
    <col min="13" max="13" width="16.44140625" style="14" customWidth="1"/>
    <col min="14" max="14" width="15.109375" customWidth="1"/>
    <col min="15" max="15" width="11.44140625" style="7"/>
    <col min="16" max="16" width="6" style="7" customWidth="1"/>
    <col min="17" max="17" width="11.44140625" style="7"/>
    <col min="19" max="19" width="34" customWidth="1"/>
  </cols>
  <sheetData>
    <row r="2" spans="2:21" ht="21" x14ac:dyDescent="0.4">
      <c r="B2" s="92" t="s">
        <v>159</v>
      </c>
      <c r="C2" s="92"/>
      <c r="D2" s="92"/>
      <c r="E2" s="92"/>
      <c r="F2" s="92"/>
      <c r="G2" s="92"/>
      <c r="H2" s="92"/>
      <c r="I2" s="92"/>
      <c r="J2" s="8"/>
      <c r="K2" s="54"/>
      <c r="L2" s="42"/>
      <c r="M2" s="43"/>
      <c r="O2" s="8"/>
      <c r="P2" s="8"/>
      <c r="Q2" s="8"/>
      <c r="R2" s="8"/>
      <c r="S2" s="8"/>
      <c r="T2" s="8"/>
      <c r="U2" s="8"/>
    </row>
    <row r="3" spans="2:21" ht="15" customHeight="1" x14ac:dyDescent="0.4">
      <c r="B3" s="8"/>
      <c r="C3" s="8"/>
      <c r="D3" s="8"/>
      <c r="E3" s="8"/>
      <c r="F3" s="33"/>
      <c r="G3" s="33"/>
      <c r="H3" s="33"/>
      <c r="I3" s="33"/>
      <c r="J3" s="8"/>
      <c r="K3" s="54"/>
      <c r="L3" s="42"/>
      <c r="M3" s="43"/>
      <c r="O3" s="17"/>
      <c r="P3" s="17"/>
      <c r="Q3" s="17"/>
      <c r="R3" s="8"/>
      <c r="S3" s="8"/>
      <c r="T3" s="8"/>
      <c r="U3" s="8"/>
    </row>
    <row r="4" spans="2:21" ht="15" customHeight="1" x14ac:dyDescent="0.4">
      <c r="B4" s="8"/>
      <c r="C4" s="93" t="s">
        <v>79</v>
      </c>
      <c r="D4" s="93"/>
      <c r="E4" s="93"/>
      <c r="F4" s="93"/>
      <c r="G4" s="93"/>
      <c r="H4" s="93"/>
      <c r="I4" s="93"/>
      <c r="J4" s="16"/>
      <c r="K4" s="55"/>
      <c r="L4" s="41"/>
      <c r="M4" s="93" t="s">
        <v>156</v>
      </c>
      <c r="N4" s="93"/>
      <c r="O4" s="17"/>
      <c r="P4" s="17"/>
      <c r="Q4" s="17"/>
      <c r="R4" s="16"/>
      <c r="S4" s="8"/>
      <c r="T4" s="8"/>
      <c r="U4" s="8"/>
    </row>
    <row r="5" spans="2:21" ht="15" customHeight="1" x14ac:dyDescent="0.4">
      <c r="D5" s="32" t="s">
        <v>142</v>
      </c>
      <c r="E5" s="32" t="s">
        <v>143</v>
      </c>
      <c r="J5" s="16"/>
      <c r="K5" s="55"/>
      <c r="L5" s="41"/>
      <c r="M5" s="44"/>
      <c r="O5" s="17"/>
      <c r="P5" s="17"/>
      <c r="Q5" s="17"/>
    </row>
    <row r="6" spans="2:21" ht="15" customHeight="1" x14ac:dyDescent="0.4">
      <c r="B6" t="s">
        <v>1</v>
      </c>
      <c r="D6" s="25" t="s">
        <v>141</v>
      </c>
      <c r="E6" s="25" t="s">
        <v>141</v>
      </c>
      <c r="F6" s="30" t="s">
        <v>26</v>
      </c>
      <c r="G6" s="30" t="s">
        <v>15</v>
      </c>
      <c r="H6" s="30" t="s">
        <v>149</v>
      </c>
      <c r="I6" s="30" t="s">
        <v>103</v>
      </c>
      <c r="J6" s="16"/>
      <c r="K6" s="55"/>
      <c r="L6" s="41"/>
      <c r="M6" s="45" t="s">
        <v>155</v>
      </c>
      <c r="O6" s="17"/>
      <c r="P6" s="17"/>
      <c r="Q6" s="17"/>
      <c r="R6" s="7"/>
    </row>
    <row r="7" spans="2:21" ht="15" customHeight="1" x14ac:dyDescent="0.4">
      <c r="B7" t="s">
        <v>31</v>
      </c>
      <c r="D7" s="25">
        <v>651610</v>
      </c>
      <c r="E7" s="25">
        <v>651613</v>
      </c>
      <c r="F7" s="30" t="s">
        <v>148</v>
      </c>
      <c r="G7" s="30" t="s">
        <v>77</v>
      </c>
      <c r="H7" s="30" t="s">
        <v>98</v>
      </c>
      <c r="I7" s="30" t="s">
        <v>150</v>
      </c>
      <c r="J7" s="16"/>
      <c r="K7" s="55"/>
      <c r="L7" s="41"/>
      <c r="M7" s="45" t="s">
        <v>157</v>
      </c>
      <c r="O7" s="17"/>
      <c r="P7" s="17"/>
      <c r="Q7" s="17"/>
      <c r="R7" s="3"/>
    </row>
    <row r="8" spans="2:21" ht="15" customHeight="1" x14ac:dyDescent="0.4">
      <c r="B8" t="s">
        <v>158</v>
      </c>
      <c r="D8" s="25"/>
      <c r="E8" s="25"/>
      <c r="G8" s="37">
        <v>200011</v>
      </c>
      <c r="H8" s="37"/>
      <c r="J8" s="16"/>
      <c r="K8" s="55"/>
      <c r="L8" s="41"/>
      <c r="M8" s="59">
        <v>85011099</v>
      </c>
      <c r="O8" s="17"/>
      <c r="P8" s="17"/>
      <c r="Q8" s="17"/>
      <c r="R8" s="3"/>
      <c r="U8" s="15"/>
    </row>
    <row r="9" spans="2:21" ht="15" customHeight="1" x14ac:dyDescent="0.4">
      <c r="D9" s="25"/>
      <c r="E9" s="25"/>
      <c r="J9" s="16"/>
      <c r="K9" s="55"/>
      <c r="L9" s="41"/>
      <c r="M9" s="50"/>
      <c r="O9" s="17"/>
      <c r="P9" s="17"/>
      <c r="Q9" s="17"/>
    </row>
    <row r="10" spans="2:21" ht="15" customHeight="1" x14ac:dyDescent="0.4">
      <c r="B10" t="s">
        <v>146</v>
      </c>
      <c r="D10" s="25"/>
      <c r="E10" s="25"/>
      <c r="F10" s="46" t="b">
        <v>0</v>
      </c>
      <c r="G10" s="46" t="b">
        <v>1</v>
      </c>
      <c r="H10" s="46" t="b">
        <v>0</v>
      </c>
      <c r="I10" s="46" t="b">
        <v>0</v>
      </c>
      <c r="J10" s="16"/>
      <c r="K10" s="55"/>
      <c r="L10" s="41"/>
      <c r="M10" s="52" t="b">
        <v>0</v>
      </c>
      <c r="O10" s="17"/>
      <c r="P10" s="17"/>
      <c r="Q10" s="17"/>
    </row>
    <row r="11" spans="2:21" ht="15" customHeight="1" x14ac:dyDescent="0.4">
      <c r="B11" t="s">
        <v>147</v>
      </c>
      <c r="F11" s="46" t="b">
        <v>1</v>
      </c>
      <c r="G11" s="46" t="b">
        <v>1</v>
      </c>
      <c r="H11" s="46" t="b">
        <v>1</v>
      </c>
      <c r="I11" s="46" t="b">
        <v>1</v>
      </c>
      <c r="J11" s="16"/>
      <c r="K11" s="55"/>
      <c r="L11" s="41"/>
      <c r="M11" s="47" t="b">
        <v>0</v>
      </c>
      <c r="O11" s="17"/>
      <c r="P11" s="17"/>
      <c r="Q11" s="17"/>
    </row>
    <row r="12" spans="2:21" ht="15" customHeight="1" x14ac:dyDescent="0.4">
      <c r="J12" s="16"/>
      <c r="K12" s="55"/>
      <c r="L12" s="41"/>
      <c r="M12" s="50"/>
      <c r="O12" s="17"/>
      <c r="P12" s="17"/>
      <c r="Q12" s="17"/>
    </row>
    <row r="13" spans="2:21" ht="15" customHeight="1" x14ac:dyDescent="0.4">
      <c r="B13" t="s">
        <v>3</v>
      </c>
      <c r="D13" s="26">
        <v>8</v>
      </c>
      <c r="E13" s="26">
        <v>8</v>
      </c>
      <c r="F13" s="29">
        <v>8</v>
      </c>
      <c r="G13" s="29">
        <v>8</v>
      </c>
      <c r="H13" s="29">
        <v>8</v>
      </c>
      <c r="I13" s="30">
        <v>8</v>
      </c>
      <c r="J13" s="16"/>
      <c r="K13" s="55"/>
      <c r="L13" s="41"/>
      <c r="M13" s="50">
        <v>4</v>
      </c>
      <c r="O13" s="17"/>
      <c r="P13" s="17"/>
      <c r="Q13" s="17"/>
    </row>
    <row r="14" spans="2:21" ht="15" customHeight="1" x14ac:dyDescent="0.4">
      <c r="B14" t="s">
        <v>63</v>
      </c>
      <c r="D14" s="26">
        <v>3</v>
      </c>
      <c r="E14" s="26">
        <v>3</v>
      </c>
      <c r="F14" s="29">
        <v>3</v>
      </c>
      <c r="G14" s="29">
        <v>3</v>
      </c>
      <c r="H14" s="29">
        <v>3</v>
      </c>
      <c r="I14" s="30">
        <v>3</v>
      </c>
      <c r="J14" s="16"/>
      <c r="K14" s="55"/>
      <c r="L14" s="41"/>
      <c r="M14" s="50">
        <v>3</v>
      </c>
      <c r="O14" s="17"/>
      <c r="P14" s="17"/>
      <c r="Q14" s="17"/>
    </row>
    <row r="15" spans="2:21" ht="15" customHeight="1" x14ac:dyDescent="0.4">
      <c r="B15" t="s">
        <v>64</v>
      </c>
      <c r="C15" s="3" t="s">
        <v>65</v>
      </c>
      <c r="D15" s="26">
        <v>116.4</v>
      </c>
      <c r="E15" s="26">
        <v>116.4</v>
      </c>
      <c r="F15" s="29">
        <v>120</v>
      </c>
      <c r="G15" s="29">
        <v>141</v>
      </c>
      <c r="H15" s="29">
        <v>150</v>
      </c>
      <c r="I15" s="30">
        <v>180</v>
      </c>
      <c r="J15" s="16"/>
      <c r="K15" s="55"/>
      <c r="L15" s="41"/>
      <c r="M15" s="50">
        <v>550</v>
      </c>
      <c r="O15" s="17"/>
      <c r="P15" s="17"/>
      <c r="Q15" s="17"/>
    </row>
    <row r="16" spans="2:21" ht="15" customHeight="1" x14ac:dyDescent="0.4">
      <c r="B16" t="s">
        <v>95</v>
      </c>
      <c r="C16" s="10"/>
      <c r="D16" s="48" t="b">
        <v>1</v>
      </c>
      <c r="E16" s="48" t="b">
        <v>1</v>
      </c>
      <c r="F16" s="49" t="b">
        <v>1</v>
      </c>
      <c r="G16" s="49" t="b">
        <v>1</v>
      </c>
      <c r="H16" s="49" t="b">
        <v>1</v>
      </c>
      <c r="I16" s="49" t="b">
        <v>1</v>
      </c>
      <c r="J16" s="16"/>
      <c r="K16" s="55"/>
      <c r="L16" s="41"/>
      <c r="M16" s="53" t="b">
        <v>1</v>
      </c>
      <c r="O16" s="17"/>
      <c r="P16" s="17"/>
      <c r="Q16" s="17"/>
      <c r="R16" s="7"/>
    </row>
    <row r="17" spans="2:19" ht="15" customHeight="1" x14ac:dyDescent="0.4">
      <c r="D17" s="26"/>
      <c r="E17" s="26"/>
      <c r="F17" s="29"/>
      <c r="G17" s="29"/>
      <c r="H17" s="29"/>
      <c r="I17" s="29"/>
      <c r="J17" s="16"/>
      <c r="K17" s="55"/>
      <c r="L17" s="41"/>
      <c r="M17" s="44"/>
      <c r="N17" s="7"/>
      <c r="O17" s="17"/>
      <c r="P17" s="17"/>
      <c r="Q17" s="17"/>
      <c r="R17" s="7"/>
      <c r="S17" s="7"/>
    </row>
    <row r="18" spans="2:19" ht="15" customHeight="1" x14ac:dyDescent="0.4">
      <c r="B18" t="s">
        <v>38</v>
      </c>
      <c r="C18" s="3" t="s">
        <v>39</v>
      </c>
      <c r="D18" s="26">
        <v>40</v>
      </c>
      <c r="E18" s="26">
        <v>13</v>
      </c>
      <c r="F18" s="34" t="s">
        <v>144</v>
      </c>
      <c r="G18" s="34" t="s">
        <v>72</v>
      </c>
      <c r="H18" s="34" t="s">
        <v>72</v>
      </c>
      <c r="I18" s="13" t="s">
        <v>72</v>
      </c>
      <c r="J18" s="16"/>
      <c r="K18" s="55"/>
      <c r="L18" s="41"/>
      <c r="M18" s="13" t="s">
        <v>72</v>
      </c>
      <c r="N18" s="7"/>
      <c r="O18" s="17"/>
      <c r="P18" s="17"/>
      <c r="Q18" s="17"/>
      <c r="R18" s="7"/>
      <c r="S18" s="7"/>
    </row>
    <row r="19" spans="2:19" ht="15" customHeight="1" x14ac:dyDescent="0.4">
      <c r="D19" s="26"/>
      <c r="E19" s="26"/>
      <c r="F19" s="35"/>
      <c r="G19" s="29"/>
      <c r="H19" s="29"/>
      <c r="I19" s="29"/>
      <c r="J19" s="16"/>
      <c r="K19" s="55"/>
      <c r="L19" s="41"/>
      <c r="M19" s="50"/>
      <c r="N19" s="7"/>
      <c r="O19" s="17"/>
      <c r="P19" s="17"/>
      <c r="Q19" s="17"/>
      <c r="R19" s="7"/>
      <c r="S19" s="7"/>
    </row>
    <row r="20" spans="2:19" ht="15" customHeight="1" x14ac:dyDescent="0.4">
      <c r="B20" t="s">
        <v>33</v>
      </c>
      <c r="D20" s="26">
        <v>5740</v>
      </c>
      <c r="E20" s="26">
        <v>5740</v>
      </c>
      <c r="F20" s="34" t="s">
        <v>144</v>
      </c>
      <c r="G20" s="29">
        <v>6110</v>
      </c>
      <c r="H20" s="29">
        <v>6100</v>
      </c>
      <c r="I20" s="13" t="s">
        <v>72</v>
      </c>
      <c r="J20" s="16"/>
      <c r="K20" s="55"/>
      <c r="L20" s="41"/>
      <c r="M20" s="51" t="s">
        <v>72</v>
      </c>
      <c r="N20" s="7"/>
      <c r="O20" s="17"/>
      <c r="P20" s="17"/>
      <c r="Q20" s="17"/>
      <c r="R20" s="7"/>
      <c r="S20" s="7"/>
    </row>
    <row r="21" spans="2:19" ht="15" customHeight="1" x14ac:dyDescent="0.4">
      <c r="B21" t="s">
        <v>34</v>
      </c>
      <c r="C21" s="3" t="s">
        <v>41</v>
      </c>
      <c r="D21" s="26">
        <v>277</v>
      </c>
      <c r="E21" s="26">
        <v>104</v>
      </c>
      <c r="F21" s="29">
        <v>380</v>
      </c>
      <c r="G21" s="29">
        <v>400</v>
      </c>
      <c r="H21" s="29">
        <v>0.5</v>
      </c>
      <c r="I21" s="13" t="s">
        <v>72</v>
      </c>
      <c r="J21" s="16"/>
      <c r="K21" s="55"/>
      <c r="L21" s="41"/>
      <c r="M21" s="50">
        <v>4000</v>
      </c>
      <c r="N21" s="7"/>
      <c r="O21" s="17"/>
      <c r="P21" s="17"/>
      <c r="Q21" s="17"/>
      <c r="R21" s="7"/>
      <c r="S21" s="7"/>
    </row>
    <row r="22" spans="2:19" ht="15" customHeight="1" x14ac:dyDescent="0.4">
      <c r="D22" s="26"/>
      <c r="E22" s="26"/>
      <c r="F22" s="29"/>
      <c r="G22" s="29"/>
      <c r="H22" s="29"/>
      <c r="I22" s="29"/>
      <c r="J22" s="16"/>
      <c r="K22" s="55"/>
      <c r="L22" s="41"/>
      <c r="M22" s="50"/>
      <c r="N22" s="7"/>
      <c r="O22" s="17"/>
      <c r="P22" s="17"/>
      <c r="Q22" s="17"/>
      <c r="R22" s="7"/>
      <c r="S22" s="7"/>
    </row>
    <row r="23" spans="2:19" ht="15" customHeight="1" x14ac:dyDescent="0.4">
      <c r="B23" t="s">
        <v>32</v>
      </c>
      <c r="C23" s="3" t="s">
        <v>40</v>
      </c>
      <c r="D23" s="26">
        <v>18</v>
      </c>
      <c r="E23" s="26">
        <v>48</v>
      </c>
      <c r="F23" s="29">
        <v>24</v>
      </c>
      <c r="G23" s="29">
        <v>24</v>
      </c>
      <c r="H23" s="29">
        <v>24</v>
      </c>
      <c r="I23" s="29">
        <v>24</v>
      </c>
      <c r="J23" s="16"/>
      <c r="K23" s="55"/>
      <c r="L23" s="41"/>
      <c r="M23" s="44">
        <v>24</v>
      </c>
      <c r="N23" s="7"/>
      <c r="O23" s="17"/>
      <c r="P23" s="17"/>
      <c r="Q23" s="17"/>
      <c r="R23" s="7"/>
      <c r="S23" s="7"/>
    </row>
    <row r="24" spans="2:19" ht="15" customHeight="1" x14ac:dyDescent="0.4">
      <c r="B24" t="s">
        <v>36</v>
      </c>
      <c r="C24" s="3" t="s">
        <v>39</v>
      </c>
      <c r="D24" s="26">
        <v>3.68</v>
      </c>
      <c r="E24" s="26">
        <v>1.27</v>
      </c>
      <c r="F24" s="29">
        <v>2.5499999999999998</v>
      </c>
      <c r="G24" s="29">
        <v>3.21</v>
      </c>
      <c r="H24" s="29">
        <v>3.26</v>
      </c>
      <c r="I24" s="29">
        <v>3.2</v>
      </c>
      <c r="J24" s="16"/>
      <c r="K24" s="55"/>
      <c r="L24" s="41"/>
      <c r="M24" s="50">
        <v>3</v>
      </c>
      <c r="N24" s="7"/>
      <c r="O24" s="17"/>
      <c r="P24" s="17"/>
      <c r="Q24" s="17"/>
      <c r="R24" s="7"/>
      <c r="S24" s="7"/>
    </row>
    <row r="25" spans="2:19" ht="15" customHeight="1" x14ac:dyDescent="0.4">
      <c r="B25" t="s">
        <v>11</v>
      </c>
      <c r="C25" s="3" t="s">
        <v>67</v>
      </c>
      <c r="D25" s="26">
        <v>50</v>
      </c>
      <c r="E25" s="26">
        <v>50</v>
      </c>
      <c r="F25" s="34" t="s">
        <v>144</v>
      </c>
      <c r="G25" s="29">
        <v>62.5</v>
      </c>
      <c r="H25" s="29">
        <v>66</v>
      </c>
      <c r="I25" s="29">
        <v>50</v>
      </c>
      <c r="J25" s="16"/>
      <c r="K25" s="55"/>
      <c r="L25" s="41"/>
      <c r="M25" s="50">
        <v>52</v>
      </c>
      <c r="N25" s="7"/>
      <c r="O25" s="17"/>
      <c r="P25" s="17"/>
      <c r="Q25" s="17"/>
      <c r="R25" s="7"/>
      <c r="S25" s="7"/>
    </row>
    <row r="26" spans="2:19" ht="15" customHeight="1" x14ac:dyDescent="0.4">
      <c r="B26" t="s">
        <v>37</v>
      </c>
      <c r="D26" s="26">
        <v>4690</v>
      </c>
      <c r="E26" s="26">
        <v>4710</v>
      </c>
      <c r="F26" s="29">
        <v>5260</v>
      </c>
      <c r="G26" s="29">
        <v>4860</v>
      </c>
      <c r="H26" s="29">
        <v>4840</v>
      </c>
      <c r="I26" s="29">
        <v>5000</v>
      </c>
      <c r="J26" s="16"/>
      <c r="K26" s="55"/>
      <c r="L26" s="41"/>
      <c r="M26" s="44">
        <v>3000</v>
      </c>
      <c r="N26" s="7"/>
      <c r="O26" s="17"/>
      <c r="P26" s="17"/>
      <c r="Q26" s="17"/>
      <c r="R26" s="7"/>
      <c r="S26" s="7"/>
    </row>
    <row r="27" spans="2:19" ht="15" customHeight="1" x14ac:dyDescent="0.4">
      <c r="B27" t="s">
        <v>35</v>
      </c>
      <c r="C27" s="3" t="s">
        <v>42</v>
      </c>
      <c r="D27" s="26">
        <v>112</v>
      </c>
      <c r="E27" s="26">
        <v>102</v>
      </c>
      <c r="F27" s="29">
        <v>84</v>
      </c>
      <c r="G27" s="29">
        <v>128</v>
      </c>
      <c r="H27" s="29">
        <v>130</v>
      </c>
      <c r="I27" s="29">
        <v>100</v>
      </c>
      <c r="J27" s="16"/>
      <c r="K27" s="55"/>
      <c r="L27" s="41"/>
      <c r="M27" s="44">
        <v>165</v>
      </c>
      <c r="N27" s="7"/>
      <c r="O27" s="17"/>
      <c r="P27" s="17"/>
      <c r="Q27" s="17"/>
      <c r="R27" s="7"/>
      <c r="S27" s="7"/>
    </row>
    <row r="28" spans="2:19" ht="15" customHeight="1" x14ac:dyDescent="0.4">
      <c r="B28" t="s">
        <v>73</v>
      </c>
      <c r="C28" s="3" t="s">
        <v>39</v>
      </c>
      <c r="D28" s="28" t="s">
        <v>144</v>
      </c>
      <c r="E28" s="28" t="s">
        <v>144</v>
      </c>
      <c r="F28" s="29">
        <v>7</v>
      </c>
      <c r="G28" s="29">
        <v>39.5</v>
      </c>
      <c r="H28" s="29">
        <v>9.5</v>
      </c>
      <c r="I28" s="29">
        <v>9.6</v>
      </c>
      <c r="J28" s="16"/>
      <c r="K28" s="55"/>
      <c r="L28" s="41"/>
      <c r="M28" s="44">
        <v>9</v>
      </c>
      <c r="N28" s="7"/>
      <c r="O28" s="17"/>
      <c r="P28" s="17"/>
      <c r="Q28" s="17"/>
      <c r="R28" s="7"/>
      <c r="S28" s="7"/>
    </row>
    <row r="29" spans="2:19" ht="15" customHeight="1" x14ac:dyDescent="0.4">
      <c r="B29" t="s">
        <v>75</v>
      </c>
      <c r="C29" s="3" t="s">
        <v>42</v>
      </c>
      <c r="D29" s="28" t="s">
        <v>144</v>
      </c>
      <c r="E29" s="28" t="s">
        <v>144</v>
      </c>
      <c r="F29" s="29">
        <v>250</v>
      </c>
      <c r="G29" s="29">
        <v>1150</v>
      </c>
      <c r="H29" s="29">
        <v>390</v>
      </c>
      <c r="I29" s="29">
        <v>300</v>
      </c>
      <c r="J29" s="16"/>
      <c r="K29" s="55"/>
      <c r="L29" s="41"/>
      <c r="M29" s="44">
        <v>580</v>
      </c>
      <c r="N29" s="7"/>
      <c r="O29" s="17"/>
      <c r="P29" s="17"/>
      <c r="Q29" s="17"/>
      <c r="R29" s="7"/>
      <c r="S29" s="7"/>
    </row>
    <row r="30" spans="2:19" ht="15" customHeight="1" x14ac:dyDescent="0.4">
      <c r="B30" t="s">
        <v>43</v>
      </c>
      <c r="C30" s="3" t="s">
        <v>44</v>
      </c>
      <c r="D30" s="26">
        <v>84.4</v>
      </c>
      <c r="E30" s="26">
        <v>83.4</v>
      </c>
      <c r="F30" s="34" t="s">
        <v>144</v>
      </c>
      <c r="G30" s="29">
        <v>85</v>
      </c>
      <c r="H30" s="34" t="s">
        <v>72</v>
      </c>
      <c r="I30" s="13" t="s">
        <v>72</v>
      </c>
      <c r="J30" s="16"/>
      <c r="K30" s="55"/>
      <c r="L30" s="41"/>
      <c r="M30" s="13" t="s">
        <v>72</v>
      </c>
      <c r="N30" s="7"/>
      <c r="O30" s="17"/>
      <c r="P30" s="17"/>
      <c r="Q30" s="17"/>
      <c r="R30" s="7"/>
      <c r="S30" s="7"/>
    </row>
    <row r="31" spans="2:19" ht="15" customHeight="1" x14ac:dyDescent="0.4">
      <c r="D31" s="26"/>
      <c r="E31" s="26"/>
      <c r="F31" s="29"/>
      <c r="G31" s="29"/>
      <c r="H31" s="29"/>
      <c r="I31" s="29"/>
      <c r="J31" s="16"/>
      <c r="K31" s="55"/>
      <c r="L31" s="41"/>
      <c r="M31" s="44"/>
      <c r="N31" s="7"/>
      <c r="O31" s="17"/>
      <c r="P31" s="17"/>
      <c r="Q31" s="17"/>
      <c r="R31" s="7"/>
      <c r="S31" s="7"/>
    </row>
    <row r="32" spans="2:19" ht="15" customHeight="1" x14ac:dyDescent="0.4">
      <c r="B32" t="s">
        <v>45</v>
      </c>
      <c r="C32" s="3" t="s">
        <v>74</v>
      </c>
      <c r="D32" s="26">
        <v>447</v>
      </c>
      <c r="E32" s="26">
        <v>3610</v>
      </c>
      <c r="F32" s="29">
        <v>800</v>
      </c>
      <c r="G32" s="29">
        <v>550</v>
      </c>
      <c r="H32" s="29">
        <v>560</v>
      </c>
      <c r="I32" s="29">
        <v>1500</v>
      </c>
      <c r="J32" s="16"/>
      <c r="K32" s="55"/>
      <c r="L32" s="41"/>
      <c r="M32" s="44">
        <v>820</v>
      </c>
      <c r="N32" s="7"/>
      <c r="O32" s="17"/>
      <c r="P32" s="17"/>
      <c r="Q32" s="17"/>
      <c r="R32" s="7"/>
      <c r="S32" s="7"/>
    </row>
    <row r="33" spans="2:19" ht="15" customHeight="1" x14ac:dyDescent="0.4">
      <c r="B33" t="s">
        <v>46</v>
      </c>
      <c r="C33" s="3" t="s">
        <v>81</v>
      </c>
      <c r="D33" s="26">
        <v>243</v>
      </c>
      <c r="E33" s="26">
        <v>1730</v>
      </c>
      <c r="F33" s="29">
        <v>330</v>
      </c>
      <c r="G33" s="29">
        <v>220</v>
      </c>
      <c r="H33" s="29">
        <v>270</v>
      </c>
      <c r="I33" s="29">
        <v>1000</v>
      </c>
      <c r="J33" s="16"/>
      <c r="K33" s="55"/>
      <c r="L33" s="41"/>
      <c r="M33" s="13" t="s">
        <v>72</v>
      </c>
      <c r="N33" s="7"/>
      <c r="O33" s="17"/>
      <c r="P33" s="17"/>
      <c r="Q33" s="17"/>
      <c r="R33" s="7"/>
      <c r="S33" s="7"/>
    </row>
    <row r="34" spans="2:19" ht="15" customHeight="1" x14ac:dyDescent="0.4">
      <c r="D34" s="26"/>
      <c r="E34" s="26"/>
      <c r="F34" s="29"/>
      <c r="G34" s="29"/>
      <c r="H34" s="29"/>
      <c r="I34" s="29"/>
      <c r="J34" s="16"/>
      <c r="K34" s="55"/>
      <c r="L34" s="41"/>
      <c r="M34" s="44"/>
      <c r="N34" s="7"/>
      <c r="O34" s="17"/>
      <c r="P34" s="17"/>
      <c r="Q34" s="17"/>
      <c r="R34" s="7"/>
      <c r="S34" s="7"/>
    </row>
    <row r="35" spans="2:19" ht="15" customHeight="1" x14ac:dyDescent="0.4">
      <c r="B35" t="s">
        <v>47</v>
      </c>
      <c r="C35" s="3" t="s">
        <v>52</v>
      </c>
      <c r="D35" s="26">
        <v>29.5</v>
      </c>
      <c r="E35" s="26">
        <v>78.599999999999994</v>
      </c>
      <c r="F35" s="29">
        <v>33</v>
      </c>
      <c r="G35" s="29">
        <v>37.17</v>
      </c>
      <c r="H35" s="29">
        <v>36.9</v>
      </c>
      <c r="I35" s="29">
        <v>3</v>
      </c>
      <c r="J35" s="16"/>
      <c r="K35" s="55"/>
      <c r="L35" s="41"/>
      <c r="M35" s="44">
        <v>61</v>
      </c>
      <c r="N35" s="7"/>
      <c r="O35" s="17"/>
      <c r="P35" s="17"/>
      <c r="Q35" s="17"/>
      <c r="R35" s="7"/>
      <c r="S35" s="7"/>
    </row>
    <row r="36" spans="2:19" ht="15" customHeight="1" x14ac:dyDescent="0.4">
      <c r="B36" t="s">
        <v>48</v>
      </c>
      <c r="D36" s="26">
        <v>324</v>
      </c>
      <c r="E36" s="26">
        <v>121</v>
      </c>
      <c r="F36" s="34" t="s">
        <v>144</v>
      </c>
      <c r="G36" s="29">
        <v>257</v>
      </c>
      <c r="H36" s="34" t="s">
        <v>72</v>
      </c>
      <c r="I36" s="13" t="s">
        <v>72</v>
      </c>
      <c r="J36" s="16"/>
      <c r="K36" s="55"/>
      <c r="L36" s="41"/>
      <c r="M36" s="44">
        <v>15.63</v>
      </c>
      <c r="N36" s="7"/>
      <c r="O36" s="17"/>
      <c r="P36" s="17"/>
      <c r="Q36" s="17"/>
      <c r="R36" s="7"/>
      <c r="S36" s="7"/>
    </row>
    <row r="37" spans="2:19" ht="15" customHeight="1" x14ac:dyDescent="0.4">
      <c r="B37" t="s">
        <v>49</v>
      </c>
      <c r="D37" s="26">
        <v>4910</v>
      </c>
      <c r="E37" s="26">
        <v>5580</v>
      </c>
      <c r="F37" s="34" t="s">
        <v>144</v>
      </c>
      <c r="G37" s="29">
        <v>5.31</v>
      </c>
      <c r="H37" s="34" t="s">
        <v>72</v>
      </c>
      <c r="I37" s="13" t="s">
        <v>72</v>
      </c>
      <c r="J37" s="16"/>
      <c r="K37" s="55"/>
      <c r="L37" s="41"/>
      <c r="M37" s="13" t="s">
        <v>72</v>
      </c>
      <c r="N37" s="7"/>
      <c r="O37" s="17"/>
      <c r="P37" s="17"/>
      <c r="Q37" s="17"/>
      <c r="R37" s="7"/>
      <c r="S37" s="7"/>
    </row>
    <row r="38" spans="2:19" ht="15" customHeight="1" x14ac:dyDescent="0.4">
      <c r="B38" t="s">
        <v>50</v>
      </c>
      <c r="C38" s="3" t="s">
        <v>53</v>
      </c>
      <c r="D38" s="26">
        <v>6.94</v>
      </c>
      <c r="E38" s="26">
        <v>7.89</v>
      </c>
      <c r="F38" s="34" t="s">
        <v>144</v>
      </c>
      <c r="G38" s="29">
        <v>8.1</v>
      </c>
      <c r="H38" s="34" t="s">
        <v>72</v>
      </c>
      <c r="I38" s="13" t="s">
        <v>72</v>
      </c>
      <c r="J38" s="16"/>
      <c r="K38" s="55"/>
      <c r="L38" s="41"/>
      <c r="M38" s="13" t="s">
        <v>72</v>
      </c>
      <c r="N38" s="7"/>
      <c r="O38" s="17"/>
      <c r="P38" s="17"/>
      <c r="Q38" s="17"/>
      <c r="R38" s="7"/>
      <c r="S38" s="7"/>
    </row>
    <row r="39" spans="2:19" ht="15" customHeight="1" x14ac:dyDescent="0.4">
      <c r="B39" t="s">
        <v>51</v>
      </c>
      <c r="D39" s="26">
        <v>135</v>
      </c>
      <c r="E39" s="26">
        <v>135</v>
      </c>
      <c r="F39" s="29">
        <v>135</v>
      </c>
      <c r="G39" s="29">
        <v>181</v>
      </c>
      <c r="H39" s="29">
        <v>181</v>
      </c>
      <c r="I39" s="29">
        <v>230</v>
      </c>
      <c r="J39" s="16"/>
      <c r="K39" s="55"/>
      <c r="L39" s="41"/>
      <c r="M39" s="13" t="s">
        <v>72</v>
      </c>
      <c r="N39" s="7"/>
      <c r="O39" s="17"/>
      <c r="P39" s="17"/>
      <c r="Q39" s="17"/>
      <c r="R39" s="7"/>
      <c r="S39" s="7"/>
    </row>
    <row r="40" spans="2:19" ht="15" customHeight="1" x14ac:dyDescent="0.4">
      <c r="D40" s="26"/>
      <c r="E40" s="26"/>
      <c r="F40" s="29"/>
      <c r="G40" s="29"/>
      <c r="H40" s="29"/>
      <c r="I40" s="29"/>
      <c r="J40" s="16"/>
      <c r="K40" s="55"/>
      <c r="L40" s="41"/>
      <c r="M40" s="44"/>
      <c r="N40" s="7"/>
      <c r="O40" s="17"/>
      <c r="P40" s="17"/>
      <c r="Q40" s="17"/>
      <c r="R40" s="7"/>
      <c r="S40" s="7"/>
    </row>
    <row r="41" spans="2:19" ht="15" customHeight="1" x14ac:dyDescent="0.4">
      <c r="B41" t="s">
        <v>55</v>
      </c>
      <c r="C41" s="3" t="s">
        <v>54</v>
      </c>
      <c r="D41" s="26">
        <v>9.9499999999999993</v>
      </c>
      <c r="E41" s="26">
        <v>9.9499999999999993</v>
      </c>
      <c r="F41" s="34" t="s">
        <v>144</v>
      </c>
      <c r="G41" s="34" t="s">
        <v>72</v>
      </c>
      <c r="H41" s="34" t="s">
        <v>72</v>
      </c>
      <c r="I41" s="13" t="s">
        <v>72</v>
      </c>
      <c r="J41" s="16"/>
      <c r="K41" s="55"/>
      <c r="L41" s="41"/>
      <c r="M41" s="13" t="s">
        <v>72</v>
      </c>
      <c r="N41" s="7"/>
      <c r="O41" s="17"/>
      <c r="P41" s="17"/>
      <c r="Q41" s="17"/>
      <c r="R41" s="7"/>
      <c r="S41" s="7"/>
    </row>
    <row r="42" spans="2:19" ht="15" customHeight="1" x14ac:dyDescent="0.4">
      <c r="B42" t="s">
        <v>145</v>
      </c>
      <c r="C42" s="3" t="s">
        <v>57</v>
      </c>
      <c r="D42" s="26">
        <v>78.3</v>
      </c>
      <c r="E42" s="26">
        <v>78.3</v>
      </c>
      <c r="F42" s="34" t="s">
        <v>144</v>
      </c>
      <c r="G42" s="34" t="s">
        <v>72</v>
      </c>
      <c r="H42" s="34" t="s">
        <v>72</v>
      </c>
      <c r="I42" s="13" t="s">
        <v>72</v>
      </c>
      <c r="J42" s="16"/>
      <c r="K42" s="55"/>
      <c r="L42" s="41"/>
      <c r="M42" s="13" t="s">
        <v>72</v>
      </c>
      <c r="N42" s="7"/>
      <c r="O42" s="17"/>
      <c r="P42" s="17"/>
      <c r="Q42" s="17"/>
      <c r="R42" s="7"/>
      <c r="S42" s="7"/>
    </row>
    <row r="43" spans="2:19" ht="15" customHeight="1" x14ac:dyDescent="0.4">
      <c r="B43" t="s">
        <v>56</v>
      </c>
      <c r="C43" s="3" t="s">
        <v>57</v>
      </c>
      <c r="D43" s="26">
        <v>28.8</v>
      </c>
      <c r="E43" s="26">
        <v>28.8</v>
      </c>
      <c r="F43" s="34" t="s">
        <v>144</v>
      </c>
      <c r="G43" s="34" t="s">
        <v>72</v>
      </c>
      <c r="H43" s="34" t="s">
        <v>72</v>
      </c>
      <c r="I43" s="13" t="s">
        <v>72</v>
      </c>
      <c r="J43" s="16"/>
      <c r="K43" s="55"/>
      <c r="L43" s="41"/>
      <c r="M43" s="13" t="s">
        <v>72</v>
      </c>
      <c r="N43" s="7"/>
      <c r="O43" s="17"/>
      <c r="P43" s="17"/>
      <c r="Q43" s="17"/>
      <c r="R43" s="7"/>
      <c r="S43" s="7"/>
    </row>
    <row r="44" spans="2:19" ht="15" customHeight="1" x14ac:dyDescent="0.4">
      <c r="B44" t="s">
        <v>60</v>
      </c>
      <c r="C44" s="3" t="s">
        <v>58</v>
      </c>
      <c r="D44" s="26">
        <v>-40</v>
      </c>
      <c r="E44" s="26">
        <v>-40</v>
      </c>
      <c r="F44" s="34" t="s">
        <v>144</v>
      </c>
      <c r="G44" s="29">
        <v>-40</v>
      </c>
      <c r="H44" s="29">
        <v>-25</v>
      </c>
      <c r="I44" s="29">
        <v>-20</v>
      </c>
      <c r="J44" s="16"/>
      <c r="K44" s="55"/>
      <c r="L44" s="41"/>
      <c r="M44" s="13" t="s">
        <v>72</v>
      </c>
      <c r="N44" s="7"/>
      <c r="O44" s="17"/>
      <c r="P44" s="17"/>
      <c r="Q44" s="17"/>
      <c r="R44" s="7"/>
      <c r="S44" s="7"/>
    </row>
    <row r="45" spans="2:19" ht="15" customHeight="1" x14ac:dyDescent="0.4">
      <c r="B45" t="s">
        <v>59</v>
      </c>
      <c r="C45" s="3" t="s">
        <v>58</v>
      </c>
      <c r="D45" s="26">
        <v>100</v>
      </c>
      <c r="E45" s="26">
        <v>100</v>
      </c>
      <c r="F45" s="34" t="s">
        <v>144</v>
      </c>
      <c r="G45" s="29">
        <v>100</v>
      </c>
      <c r="H45" s="29">
        <v>55</v>
      </c>
      <c r="I45" s="29">
        <v>55</v>
      </c>
      <c r="J45" s="16"/>
      <c r="K45" s="55"/>
      <c r="L45" s="41"/>
      <c r="M45" s="13" t="s">
        <v>72</v>
      </c>
      <c r="N45" s="7"/>
      <c r="O45" s="17"/>
      <c r="P45" s="17"/>
      <c r="Q45" s="17"/>
      <c r="R45" s="7"/>
      <c r="S45" s="7"/>
    </row>
    <row r="46" spans="2:19" ht="15" customHeight="1" x14ac:dyDescent="0.4">
      <c r="B46" t="s">
        <v>61</v>
      </c>
      <c r="C46" s="3" t="s">
        <v>58</v>
      </c>
      <c r="D46" s="26">
        <v>125</v>
      </c>
      <c r="E46" s="26">
        <v>125</v>
      </c>
      <c r="F46" s="34" t="s">
        <v>144</v>
      </c>
      <c r="G46" s="29">
        <v>125</v>
      </c>
      <c r="H46" s="34" t="s">
        <v>72</v>
      </c>
      <c r="I46" s="13" t="s">
        <v>72</v>
      </c>
      <c r="J46" s="16"/>
      <c r="K46" s="55"/>
      <c r="L46" s="41"/>
      <c r="M46" s="13" t="s">
        <v>72</v>
      </c>
      <c r="N46" s="7"/>
      <c r="O46" s="17"/>
      <c r="P46" s="17"/>
      <c r="Q46" s="17"/>
      <c r="R46" s="7"/>
      <c r="S46" s="7"/>
    </row>
    <row r="47" spans="2:19" ht="15" customHeight="1" x14ac:dyDescent="0.4">
      <c r="F47" s="34"/>
      <c r="G47" s="29"/>
      <c r="H47" s="29"/>
      <c r="I47" s="29"/>
      <c r="J47" s="16"/>
      <c r="K47" s="55"/>
      <c r="L47" s="41"/>
      <c r="M47" s="44"/>
      <c r="N47" s="7"/>
      <c r="O47" s="17"/>
      <c r="P47" s="17"/>
      <c r="Q47" s="17"/>
      <c r="R47" s="7"/>
      <c r="S47" s="7"/>
    </row>
    <row r="48" spans="2:19" ht="15" customHeight="1" x14ac:dyDescent="0.4">
      <c r="B48" t="s">
        <v>62</v>
      </c>
      <c r="D48" s="26">
        <v>10000</v>
      </c>
      <c r="E48" s="26">
        <v>10000</v>
      </c>
      <c r="F48" s="34" t="s">
        <v>144</v>
      </c>
      <c r="G48" s="29">
        <v>10000</v>
      </c>
      <c r="H48" s="34" t="s">
        <v>72</v>
      </c>
      <c r="I48" s="13" t="s">
        <v>72</v>
      </c>
      <c r="J48" s="16"/>
      <c r="K48" s="55"/>
      <c r="L48" s="41"/>
      <c r="M48" s="13" t="s">
        <v>72</v>
      </c>
      <c r="N48" s="7"/>
      <c r="O48" s="17"/>
      <c r="P48" s="17"/>
      <c r="Q48" s="17"/>
      <c r="R48" s="7"/>
      <c r="S48" s="7"/>
    </row>
    <row r="49" spans="2:19" ht="15" customHeight="1" x14ac:dyDescent="0.4">
      <c r="B49" t="s">
        <v>83</v>
      </c>
      <c r="C49" s="3" t="s">
        <v>70</v>
      </c>
      <c r="D49" s="26">
        <v>43.5</v>
      </c>
      <c r="E49" s="26">
        <v>43.5</v>
      </c>
      <c r="F49" s="29">
        <v>43.2</v>
      </c>
      <c r="G49" s="29">
        <v>42</v>
      </c>
      <c r="H49" s="29">
        <v>43.2</v>
      </c>
      <c r="I49" s="29">
        <v>42.8</v>
      </c>
      <c r="J49" s="16"/>
      <c r="K49" s="55"/>
      <c r="L49" s="41"/>
      <c r="M49" s="44">
        <v>57</v>
      </c>
      <c r="N49" s="7"/>
      <c r="O49" s="17"/>
      <c r="P49" s="17"/>
      <c r="Q49" s="17"/>
      <c r="R49" s="7"/>
      <c r="S49" s="7"/>
    </row>
    <row r="50" spans="2:19" ht="15" customHeight="1" x14ac:dyDescent="0.4">
      <c r="B50" t="s">
        <v>82</v>
      </c>
      <c r="C50" s="3" t="s">
        <v>70</v>
      </c>
      <c r="D50" s="26">
        <v>22</v>
      </c>
      <c r="E50" s="26">
        <v>22</v>
      </c>
      <c r="F50" s="29">
        <v>21</v>
      </c>
      <c r="G50" s="29">
        <v>26.7</v>
      </c>
      <c r="H50" s="29">
        <v>27</v>
      </c>
      <c r="I50" s="29">
        <v>26.3</v>
      </c>
      <c r="J50" s="16"/>
      <c r="K50" s="55"/>
      <c r="L50" s="41"/>
      <c r="M50" s="44">
        <v>56.5</v>
      </c>
      <c r="N50" s="7"/>
      <c r="O50" s="17"/>
      <c r="P50" s="17"/>
      <c r="Q50" s="17"/>
      <c r="R50" s="7"/>
      <c r="S50" s="7"/>
    </row>
    <row r="51" spans="2:19" ht="15" customHeight="1" x14ac:dyDescent="0.4">
      <c r="B51" t="s">
        <v>69</v>
      </c>
      <c r="C51" s="3" t="s">
        <v>70</v>
      </c>
      <c r="D51" s="26">
        <v>4</v>
      </c>
      <c r="E51" s="26">
        <v>4</v>
      </c>
      <c r="F51" s="29">
        <v>4</v>
      </c>
      <c r="G51" s="29">
        <v>4</v>
      </c>
      <c r="H51" s="29">
        <v>4</v>
      </c>
      <c r="I51" s="29">
        <v>4</v>
      </c>
      <c r="J51" s="16"/>
      <c r="K51" s="55"/>
      <c r="L51" s="41"/>
      <c r="M51" s="44">
        <v>8</v>
      </c>
      <c r="N51" s="7"/>
      <c r="O51" s="17"/>
      <c r="P51" s="17"/>
      <c r="Q51" s="17"/>
      <c r="R51" s="7"/>
      <c r="S51" s="7"/>
    </row>
    <row r="52" spans="2:19" ht="15" customHeight="1" x14ac:dyDescent="0.4">
      <c r="B52" t="s">
        <v>68</v>
      </c>
      <c r="C52" s="3" t="s">
        <v>70</v>
      </c>
      <c r="D52" s="26">
        <v>20</v>
      </c>
      <c r="E52" s="26">
        <v>20</v>
      </c>
      <c r="F52" s="29">
        <v>17.399999999999999</v>
      </c>
      <c r="G52" s="29">
        <v>6.8</v>
      </c>
      <c r="H52" s="29">
        <v>17.399999999999999</v>
      </c>
      <c r="I52" s="29">
        <v>17.5</v>
      </c>
      <c r="J52" s="16"/>
      <c r="K52" s="55"/>
      <c r="L52" s="41"/>
      <c r="M52" s="44">
        <v>23</v>
      </c>
      <c r="N52" s="7"/>
      <c r="O52" s="17"/>
      <c r="P52" s="17"/>
      <c r="Q52" s="17"/>
      <c r="R52" s="7"/>
      <c r="S52" s="7"/>
    </row>
    <row r="53" spans="2:19" ht="15" customHeight="1" x14ac:dyDescent="0.4">
      <c r="B53" t="s">
        <v>71</v>
      </c>
      <c r="C53" s="3" t="s">
        <v>70</v>
      </c>
      <c r="D53" s="26">
        <v>42</v>
      </c>
      <c r="E53" s="26">
        <v>42</v>
      </c>
      <c r="F53" s="29">
        <v>41.6</v>
      </c>
      <c r="G53" s="29">
        <v>36.700000000000003</v>
      </c>
      <c r="H53" s="29">
        <v>47.6</v>
      </c>
      <c r="I53" s="29">
        <v>46.3</v>
      </c>
      <c r="J53" s="16"/>
      <c r="K53" s="55"/>
      <c r="L53" s="41"/>
      <c r="M53" s="44">
        <v>81.5</v>
      </c>
      <c r="N53" s="7"/>
      <c r="O53" s="17"/>
      <c r="P53" s="17"/>
      <c r="Q53" s="17"/>
      <c r="R53" s="7"/>
      <c r="S53" s="7"/>
    </row>
    <row r="54" spans="2:19" ht="15" customHeight="1" x14ac:dyDescent="0.4">
      <c r="B54" t="s">
        <v>134</v>
      </c>
      <c r="C54" s="3" t="s">
        <v>70</v>
      </c>
      <c r="D54" s="26">
        <v>12</v>
      </c>
      <c r="E54" s="26">
        <v>12</v>
      </c>
      <c r="F54" s="29">
        <v>16</v>
      </c>
      <c r="G54" s="29">
        <v>12</v>
      </c>
      <c r="H54" s="29">
        <v>16</v>
      </c>
      <c r="I54" s="29">
        <v>22</v>
      </c>
      <c r="J54" s="16"/>
      <c r="K54" s="55"/>
      <c r="L54" s="41"/>
      <c r="M54" s="44">
        <v>25</v>
      </c>
      <c r="N54" s="7"/>
      <c r="O54" s="17"/>
      <c r="P54" s="17"/>
      <c r="Q54" s="17"/>
      <c r="R54" s="7"/>
      <c r="S54" s="7"/>
    </row>
    <row r="55" spans="2:19" ht="15" customHeight="1" x14ac:dyDescent="0.4">
      <c r="J55" s="16"/>
      <c r="K55" s="55"/>
      <c r="L55" s="41"/>
      <c r="M55" s="44"/>
      <c r="N55" s="7"/>
      <c r="O55" s="17"/>
      <c r="P55" s="17"/>
      <c r="Q55" s="17"/>
      <c r="R55" s="7"/>
      <c r="S55" s="7"/>
    </row>
    <row r="56" spans="2:19" ht="15" customHeight="1" x14ac:dyDescent="0.4">
      <c r="B56" s="57" t="s">
        <v>160</v>
      </c>
      <c r="C56" s="3" t="s">
        <v>161</v>
      </c>
      <c r="J56" s="16"/>
      <c r="K56" s="55"/>
      <c r="M56" s="44">
        <v>23.95</v>
      </c>
      <c r="N56" s="7"/>
      <c r="O56" s="17"/>
      <c r="P56" s="17"/>
      <c r="Q56" s="17"/>
      <c r="R56" s="7"/>
      <c r="S56" s="7"/>
    </row>
    <row r="57" spans="2:19" ht="15" customHeight="1" x14ac:dyDescent="0.4">
      <c r="J57" s="16"/>
      <c r="K57" s="55"/>
      <c r="L57" s="41"/>
      <c r="M57" s="44"/>
      <c r="N57" s="7"/>
      <c r="O57" s="17"/>
      <c r="P57" s="17"/>
      <c r="Q57" s="17"/>
      <c r="R57" s="7"/>
      <c r="S57" s="7"/>
    </row>
    <row r="58" spans="2:19" ht="15" customHeight="1" x14ac:dyDescent="0.4">
      <c r="J58" s="16"/>
      <c r="K58" s="55"/>
      <c r="L58" s="41"/>
      <c r="M58" s="44"/>
      <c r="O58" s="17"/>
      <c r="P58" s="17"/>
      <c r="Q58" s="17"/>
    </row>
    <row r="59" spans="2:19" ht="15" customHeight="1" x14ac:dyDescent="0.4">
      <c r="J59" s="16"/>
      <c r="K59" s="55"/>
      <c r="L59" s="41"/>
      <c r="M59" s="44"/>
      <c r="O59" s="17"/>
      <c r="P59" s="17"/>
      <c r="Q59" s="17"/>
    </row>
    <row r="60" spans="2:19" ht="15" customHeight="1" x14ac:dyDescent="0.4">
      <c r="C60" s="39"/>
      <c r="J60" s="16"/>
      <c r="K60" s="55"/>
      <c r="L60" s="41"/>
      <c r="M60" s="44"/>
      <c r="O60" s="17"/>
      <c r="P60" s="17"/>
      <c r="Q60" s="17"/>
    </row>
    <row r="61" spans="2:19" ht="15" customHeight="1" x14ac:dyDescent="0.4">
      <c r="C61" s="39"/>
      <c r="O61" s="17"/>
      <c r="P61" s="17"/>
      <c r="Q61" s="17"/>
    </row>
    <row r="62" spans="2:19" ht="15" customHeight="1" x14ac:dyDescent="0.4">
      <c r="D62" s="36"/>
      <c r="E62" s="36"/>
      <c r="O62" s="17"/>
      <c r="P62" s="17"/>
      <c r="Q62" s="17"/>
    </row>
    <row r="64" spans="2:19" x14ac:dyDescent="0.3">
      <c r="C64" s="39"/>
    </row>
    <row r="71" spans="8:8" x14ac:dyDescent="0.3">
      <c r="H71" s="38"/>
    </row>
    <row r="72" spans="8:8" x14ac:dyDescent="0.3">
      <c r="H72" s="38"/>
    </row>
    <row r="73" spans="8:8" x14ac:dyDescent="0.3">
      <c r="H73" s="38"/>
    </row>
    <row r="75" spans="8:8" x14ac:dyDescent="0.3">
      <c r="H75" s="38"/>
    </row>
  </sheetData>
  <mergeCells count="3">
    <mergeCell ref="B2:I2"/>
    <mergeCell ref="C4:I4"/>
    <mergeCell ref="M4:N4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Übersicht Motoren</vt:lpstr>
      <vt:lpstr>Vergleich Bestellliste</vt:lpstr>
      <vt:lpstr>Vergleich Maxon 80W</vt:lpstr>
      <vt:lpstr>Vergleich Maxon 50W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Hoppe, Alexander</dc:creator>
  <cp:lastModifiedBy>Hoppe, Alexander</cp:lastModifiedBy>
  <dcterms:created xsi:type="dcterms:W3CDTF">2026-06-30T08:03:42Z</dcterms:created>
  <dcterms:modified xsi:type="dcterms:W3CDTF">2026-08-31T13:54:52Z</dcterms:modified>
</cp:coreProperties>
</file>