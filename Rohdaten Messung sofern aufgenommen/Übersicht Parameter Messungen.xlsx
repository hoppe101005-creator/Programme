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unkgmbh-my.sharepoint.com/personal/alexander_hoppe_de_schunk_com/Documents/Documents/E-Labor/T4-1000-Alexander-Hoppe/Rohdaten Messung sofern aufgenommen/"/>
    </mc:Choice>
  </mc:AlternateContent>
  <xr:revisionPtr revIDLastSave="445" documentId="8_{A33500AD-0E95-4A43-9994-FFBBE5C369AC}" xr6:coauthVersionLast="47" xr6:coauthVersionMax="47" xr10:uidLastSave="{D8041017-F6A0-4539-A4A2-B5DBF6B21662}"/>
  <bookViews>
    <workbookView xWindow="-120" yWindow="-120" windowWidth="29040" windowHeight="17520" activeTab="4" xr2:uid="{947E7A6B-378B-4BE9-93DE-39CF0F84674E}"/>
  </bookViews>
  <sheets>
    <sheet name="ACT" sheetId="1" r:id="rId1"/>
    <sheet name="DeltaLine" sheetId="2" r:id="rId2"/>
    <sheet name="Faulhaber" sheetId="3" r:id="rId3"/>
    <sheet name="Maxon" sheetId="4" r:id="rId4"/>
    <sheet name="Rechner mittlere Stromaufnahm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5" l="1"/>
  <c r="J6" i="5"/>
  <c r="I12" i="5"/>
  <c r="J12" i="5"/>
  <c r="I16" i="5"/>
  <c r="J16" i="5"/>
  <c r="J15" i="5"/>
  <c r="I15" i="5"/>
  <c r="I9" i="5"/>
  <c r="J9" i="5"/>
  <c r="I7" i="5"/>
  <c r="J7" i="5"/>
  <c r="I8" i="5"/>
  <c r="J8" i="5"/>
  <c r="I10" i="5"/>
  <c r="J10" i="5"/>
  <c r="I11" i="5"/>
  <c r="J11" i="5"/>
  <c r="I13" i="5"/>
  <c r="J13" i="5"/>
  <c r="I14" i="5"/>
  <c r="J14" i="5"/>
  <c r="J5" i="5"/>
  <c r="I5" i="5"/>
  <c r="K6" i="5" l="1"/>
  <c r="K12" i="5"/>
  <c r="K5" i="5"/>
  <c r="H6" i="5" s="1"/>
  <c r="K16" i="5"/>
  <c r="H16" i="5" s="1"/>
  <c r="K15" i="5"/>
  <c r="K9" i="5"/>
  <c r="K7" i="5"/>
  <c r="H7" i="5" s="1"/>
  <c r="K8" i="5"/>
  <c r="H9" i="5" s="1"/>
  <c r="K11" i="5"/>
  <c r="H12" i="5" s="1"/>
  <c r="K14" i="5"/>
  <c r="H15" i="5" s="1"/>
  <c r="K13" i="5"/>
  <c r="H13" i="5" s="1"/>
  <c r="K10" i="5"/>
  <c r="H10" i="5" s="1"/>
</calcChain>
</file>

<file path=xl/sharedStrings.xml><?xml version="1.0" encoding="utf-8"?>
<sst xmlns="http://schemas.openxmlformats.org/spreadsheetml/2006/main" count="106" uniqueCount="35">
  <si>
    <t>Messungs Nr.</t>
  </si>
  <si>
    <t>Abstand Wechsel-Gespannt</t>
  </si>
  <si>
    <t>[min^-1]</t>
  </si>
  <si>
    <t>Drehzahl</t>
  </si>
  <si>
    <t>Beschleunigung</t>
  </si>
  <si>
    <t>Verzögerung</t>
  </si>
  <si>
    <t>Startposition</t>
  </si>
  <si>
    <t>offen</t>
  </si>
  <si>
    <t>Spannkraft</t>
  </si>
  <si>
    <t>[kN]</t>
  </si>
  <si>
    <t>bei 24V:</t>
  </si>
  <si>
    <t>[mA]</t>
  </si>
  <si>
    <t>Peakstrom: lösen</t>
  </si>
  <si>
    <t>Peakstrom: spannen</t>
  </si>
  <si>
    <t>spannen</t>
  </si>
  <si>
    <t>Werte:</t>
  </si>
  <si>
    <t>t</t>
  </si>
  <si>
    <t>i(0)</t>
  </si>
  <si>
    <t>i(t)</t>
  </si>
  <si>
    <t>Motor</t>
  </si>
  <si>
    <t>Messfall</t>
  </si>
  <si>
    <t>Aktion</t>
  </si>
  <si>
    <t>[s]</t>
  </si>
  <si>
    <t>ACT</t>
  </si>
  <si>
    <t>Faulhaber</t>
  </si>
  <si>
    <t>DeltaLine</t>
  </si>
  <si>
    <t>Maxon</t>
  </si>
  <si>
    <t>lösen</t>
  </si>
  <si>
    <t>Steigung</t>
  </si>
  <si>
    <t>t^2</t>
  </si>
  <si>
    <t>I(t)</t>
  </si>
  <si>
    <t>5 oder 6</t>
  </si>
  <si>
    <t>-</t>
  </si>
  <si>
    <r>
      <t>I</t>
    </r>
    <r>
      <rPr>
        <b/>
        <sz val="8"/>
        <rFont val="Aptos Narrow"/>
        <family val="2"/>
        <scheme val="minor"/>
      </rPr>
      <t>mittel</t>
    </r>
  </si>
  <si>
    <t>Hilfsgrößen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</si>
</sst>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4749-72CA-4CDA-B161-C434729A3359}">
  <dimension ref="B2:J14"/>
  <sheetViews>
    <sheetView workbookViewId="0">
      <selection activeCell="B19" sqref="B19"/>
    </sheetView>
  </sheetViews>
  <sheetFormatPr baseColWidth="10" defaultRowHeight="15" x14ac:dyDescent="0.25"/>
  <cols>
    <col min="1" max="1" width="2.28515625" customWidth="1"/>
    <col min="3" max="3" width="9.7109375" customWidth="1"/>
    <col min="4" max="4" width="23.42578125" customWidth="1"/>
  </cols>
  <sheetData>
    <row r="2" spans="2:10" x14ac:dyDescent="0.25">
      <c r="B2" t="s">
        <v>0</v>
      </c>
      <c r="C2" s="1" t="s">
        <v>8</v>
      </c>
      <c r="D2" t="s">
        <v>1</v>
      </c>
      <c r="E2" t="s">
        <v>6</v>
      </c>
      <c r="F2" t="s">
        <v>3</v>
      </c>
      <c r="G2" t="s">
        <v>4</v>
      </c>
      <c r="H2" t="s">
        <v>5</v>
      </c>
      <c r="I2" t="s">
        <v>13</v>
      </c>
      <c r="J2" t="s">
        <v>12</v>
      </c>
    </row>
    <row r="3" spans="2:10" x14ac:dyDescent="0.25">
      <c r="C3" t="s">
        <v>9</v>
      </c>
      <c r="D3" t="s">
        <v>2</v>
      </c>
      <c r="I3" t="s">
        <v>11</v>
      </c>
      <c r="J3" t="s">
        <v>11</v>
      </c>
    </row>
    <row r="4" spans="2:10" x14ac:dyDescent="0.25">
      <c r="B4" t="s">
        <v>10</v>
      </c>
    </row>
    <row r="5" spans="2:10" x14ac:dyDescent="0.25">
      <c r="B5">
        <v>1</v>
      </c>
      <c r="C5">
        <v>2.8</v>
      </c>
      <c r="D5">
        <v>30</v>
      </c>
      <c r="E5" t="s">
        <v>7</v>
      </c>
      <c r="F5">
        <v>1500</v>
      </c>
      <c r="G5">
        <v>10000</v>
      </c>
      <c r="H5">
        <v>275</v>
      </c>
      <c r="I5">
        <v>1268</v>
      </c>
      <c r="J5">
        <v>1570</v>
      </c>
    </row>
    <row r="6" spans="2:10" x14ac:dyDescent="0.25">
      <c r="B6">
        <v>2</v>
      </c>
      <c r="C6">
        <v>2.8</v>
      </c>
      <c r="D6">
        <v>30</v>
      </c>
      <c r="E6" t="s">
        <v>7</v>
      </c>
      <c r="F6">
        <v>1500</v>
      </c>
      <c r="G6">
        <v>10000</v>
      </c>
      <c r="H6">
        <v>150</v>
      </c>
      <c r="I6">
        <v>1067</v>
      </c>
      <c r="J6">
        <v>1740</v>
      </c>
    </row>
    <row r="7" spans="2:10" x14ac:dyDescent="0.25">
      <c r="B7">
        <v>3</v>
      </c>
      <c r="C7">
        <v>2.8</v>
      </c>
      <c r="D7">
        <v>30</v>
      </c>
      <c r="E7" t="s">
        <v>7</v>
      </c>
      <c r="F7">
        <v>1000</v>
      </c>
      <c r="G7">
        <v>10000</v>
      </c>
      <c r="H7">
        <v>275</v>
      </c>
      <c r="I7">
        <v>1535</v>
      </c>
      <c r="J7">
        <v>1670</v>
      </c>
    </row>
    <row r="8" spans="2:10" x14ac:dyDescent="0.25">
      <c r="B8">
        <v>4</v>
      </c>
      <c r="C8">
        <v>2.8</v>
      </c>
      <c r="D8">
        <v>30</v>
      </c>
      <c r="E8" t="s">
        <v>7</v>
      </c>
      <c r="F8">
        <v>1000</v>
      </c>
      <c r="G8">
        <v>10000</v>
      </c>
      <c r="H8">
        <v>150</v>
      </c>
      <c r="I8">
        <v>1200</v>
      </c>
      <c r="J8">
        <v>1570</v>
      </c>
    </row>
    <row r="9" spans="2:10" x14ac:dyDescent="0.25">
      <c r="B9">
        <v>5</v>
      </c>
      <c r="C9">
        <v>3.6</v>
      </c>
      <c r="D9">
        <v>31</v>
      </c>
      <c r="E9" t="s">
        <v>7</v>
      </c>
      <c r="F9">
        <v>1500</v>
      </c>
      <c r="G9">
        <v>10000</v>
      </c>
      <c r="H9">
        <v>275</v>
      </c>
      <c r="I9">
        <v>1434</v>
      </c>
      <c r="J9">
        <v>1770</v>
      </c>
    </row>
    <row r="10" spans="2:10" x14ac:dyDescent="0.25">
      <c r="B10">
        <v>6</v>
      </c>
      <c r="C10">
        <v>3.6</v>
      </c>
      <c r="D10">
        <v>31</v>
      </c>
      <c r="E10" t="s">
        <v>7</v>
      </c>
      <c r="F10">
        <v>1500</v>
      </c>
      <c r="G10">
        <v>10000</v>
      </c>
      <c r="H10">
        <v>150</v>
      </c>
      <c r="I10">
        <v>1184</v>
      </c>
      <c r="J10">
        <v>1720</v>
      </c>
    </row>
    <row r="11" spans="2:10" x14ac:dyDescent="0.25">
      <c r="B11">
        <v>7</v>
      </c>
      <c r="C11">
        <v>3.6</v>
      </c>
      <c r="D11">
        <v>31</v>
      </c>
      <c r="E11" t="s">
        <v>7</v>
      </c>
      <c r="F11">
        <v>1000</v>
      </c>
      <c r="G11">
        <v>10000</v>
      </c>
      <c r="H11">
        <v>275</v>
      </c>
      <c r="I11">
        <v>1400</v>
      </c>
      <c r="J11">
        <v>1970</v>
      </c>
    </row>
    <row r="12" spans="2:10" x14ac:dyDescent="0.25">
      <c r="B12">
        <v>8</v>
      </c>
      <c r="C12">
        <v>3.6</v>
      </c>
      <c r="D12">
        <v>31</v>
      </c>
      <c r="E12" t="s">
        <v>7</v>
      </c>
      <c r="F12">
        <v>1000</v>
      </c>
      <c r="G12">
        <v>10000</v>
      </c>
      <c r="H12">
        <v>150</v>
      </c>
      <c r="I12">
        <v>1140</v>
      </c>
      <c r="J12">
        <v>1810</v>
      </c>
    </row>
    <row r="13" spans="2:10" x14ac:dyDescent="0.25">
      <c r="B13">
        <v>9</v>
      </c>
    </row>
    <row r="14" spans="2:10" x14ac:dyDescent="0.25">
      <c r="B14">
        <v>10</v>
      </c>
    </row>
  </sheetData>
  <conditionalFormatting sqref="C5:C14">
    <cfRule type="cellIs" dxfId="5" priority="1" operator="lessThan">
      <formula>3</formula>
    </cfRule>
    <cfRule type="cellIs" dxfId="4" priority="2" operator="greaterThan">
      <formula>3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89DF-672D-4D03-942A-F572DAACF9F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297C-7E96-4036-BE40-BA5B15C60DD9}">
  <dimension ref="B2:J14"/>
  <sheetViews>
    <sheetView topLeftCell="E1" workbookViewId="0">
      <selection activeCell="K2" sqref="K2:K5"/>
    </sheetView>
  </sheetViews>
  <sheetFormatPr baseColWidth="10" defaultRowHeight="15" x14ac:dyDescent="0.25"/>
  <sheetData>
    <row r="2" spans="2:10" x14ac:dyDescent="0.25">
      <c r="B2" t="s">
        <v>0</v>
      </c>
      <c r="C2" s="1" t="s">
        <v>8</v>
      </c>
      <c r="D2" t="s">
        <v>1</v>
      </c>
      <c r="E2" t="s">
        <v>6</v>
      </c>
      <c r="F2" t="s">
        <v>3</v>
      </c>
      <c r="G2" t="s">
        <v>4</v>
      </c>
      <c r="H2" t="s">
        <v>5</v>
      </c>
      <c r="I2" t="s">
        <v>13</v>
      </c>
      <c r="J2" t="s">
        <v>12</v>
      </c>
    </row>
    <row r="3" spans="2:10" x14ac:dyDescent="0.25">
      <c r="C3" t="s">
        <v>9</v>
      </c>
      <c r="D3" t="s">
        <v>2</v>
      </c>
      <c r="I3" t="s">
        <v>11</v>
      </c>
      <c r="J3" t="s">
        <v>11</v>
      </c>
    </row>
    <row r="4" spans="2:10" x14ac:dyDescent="0.25">
      <c r="B4" t="s">
        <v>10</v>
      </c>
    </row>
    <row r="5" spans="2:10" x14ac:dyDescent="0.25">
      <c r="B5">
        <v>1</v>
      </c>
      <c r="C5">
        <v>2.8</v>
      </c>
      <c r="D5">
        <v>30</v>
      </c>
      <c r="E5" t="s">
        <v>7</v>
      </c>
      <c r="F5">
        <v>1500</v>
      </c>
      <c r="G5">
        <v>10000</v>
      </c>
      <c r="H5">
        <v>275</v>
      </c>
      <c r="I5">
        <v>700</v>
      </c>
      <c r="J5">
        <v>718</v>
      </c>
    </row>
    <row r="6" spans="2:10" x14ac:dyDescent="0.25">
      <c r="B6">
        <v>2</v>
      </c>
      <c r="C6">
        <v>2.8</v>
      </c>
      <c r="D6">
        <v>30</v>
      </c>
      <c r="E6" t="s">
        <v>7</v>
      </c>
      <c r="F6">
        <v>1500</v>
      </c>
      <c r="G6">
        <v>10000</v>
      </c>
      <c r="H6">
        <v>150</v>
      </c>
      <c r="I6">
        <v>470</v>
      </c>
      <c r="J6">
        <v>542</v>
      </c>
    </row>
    <row r="7" spans="2:10" x14ac:dyDescent="0.25">
      <c r="B7">
        <v>3</v>
      </c>
      <c r="C7">
        <v>2.8</v>
      </c>
      <c r="D7">
        <v>30</v>
      </c>
      <c r="E7" t="s">
        <v>7</v>
      </c>
      <c r="F7">
        <v>1000</v>
      </c>
      <c r="G7">
        <v>10000</v>
      </c>
      <c r="H7">
        <v>275</v>
      </c>
      <c r="I7">
        <v>685</v>
      </c>
      <c r="J7">
        <v>650</v>
      </c>
    </row>
    <row r="8" spans="2:10" x14ac:dyDescent="0.25">
      <c r="B8">
        <v>4</v>
      </c>
      <c r="C8">
        <v>2.7</v>
      </c>
      <c r="D8">
        <v>30</v>
      </c>
      <c r="E8" t="s">
        <v>7</v>
      </c>
      <c r="F8">
        <v>1000</v>
      </c>
      <c r="G8">
        <v>10000</v>
      </c>
      <c r="H8">
        <v>150</v>
      </c>
      <c r="I8">
        <v>468</v>
      </c>
      <c r="J8">
        <v>617</v>
      </c>
    </row>
    <row r="9" spans="2:10" x14ac:dyDescent="0.25">
      <c r="B9">
        <v>5</v>
      </c>
      <c r="C9">
        <v>3.7</v>
      </c>
      <c r="D9">
        <v>31</v>
      </c>
      <c r="E9" t="s">
        <v>7</v>
      </c>
      <c r="F9">
        <v>1500</v>
      </c>
      <c r="G9">
        <v>10000</v>
      </c>
      <c r="H9">
        <v>275</v>
      </c>
      <c r="I9">
        <v>990</v>
      </c>
      <c r="J9">
        <v>766</v>
      </c>
    </row>
    <row r="10" spans="2:10" x14ac:dyDescent="0.25">
      <c r="B10">
        <v>6</v>
      </c>
      <c r="C10">
        <v>3.6</v>
      </c>
      <c r="D10">
        <v>31</v>
      </c>
      <c r="E10" t="s">
        <v>7</v>
      </c>
      <c r="F10">
        <v>1500</v>
      </c>
      <c r="G10">
        <v>10000</v>
      </c>
      <c r="H10">
        <v>150</v>
      </c>
      <c r="I10">
        <v>984</v>
      </c>
      <c r="J10">
        <v>567</v>
      </c>
    </row>
    <row r="11" spans="2:10" x14ac:dyDescent="0.25">
      <c r="B11">
        <v>7</v>
      </c>
      <c r="C11">
        <v>3.6</v>
      </c>
      <c r="D11">
        <v>31</v>
      </c>
      <c r="E11" t="s">
        <v>7</v>
      </c>
      <c r="F11">
        <v>1000</v>
      </c>
      <c r="G11">
        <v>10000</v>
      </c>
      <c r="H11">
        <v>275</v>
      </c>
      <c r="I11">
        <v>834</v>
      </c>
      <c r="J11">
        <v>817</v>
      </c>
    </row>
    <row r="12" spans="2:10" x14ac:dyDescent="0.25">
      <c r="B12">
        <v>8</v>
      </c>
      <c r="C12">
        <v>3.6</v>
      </c>
      <c r="D12">
        <v>31</v>
      </c>
      <c r="E12" t="s">
        <v>7</v>
      </c>
      <c r="F12">
        <v>1000</v>
      </c>
      <c r="G12">
        <v>10000</v>
      </c>
      <c r="H12">
        <v>150</v>
      </c>
      <c r="I12">
        <v>734</v>
      </c>
      <c r="J12">
        <v>700</v>
      </c>
    </row>
    <row r="13" spans="2:10" x14ac:dyDescent="0.25">
      <c r="B13">
        <v>9</v>
      </c>
    </row>
    <row r="14" spans="2:10" x14ac:dyDescent="0.25">
      <c r="B14">
        <v>10</v>
      </c>
    </row>
  </sheetData>
  <conditionalFormatting sqref="C5:C14">
    <cfRule type="cellIs" dxfId="3" priority="5" operator="lessThan">
      <formula>3</formula>
    </cfRule>
    <cfRule type="cellIs" dxfId="2" priority="6" operator="greaterThan">
      <formula>3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6C02-AA75-42F7-B9B7-50131D5C5025}">
  <dimension ref="B2:J14"/>
  <sheetViews>
    <sheetView workbookViewId="0">
      <selection activeCell="K2" sqref="K2:K3"/>
    </sheetView>
  </sheetViews>
  <sheetFormatPr baseColWidth="10" defaultRowHeight="15" x14ac:dyDescent="0.25"/>
  <cols>
    <col min="9" max="9" width="18.7109375" customWidth="1"/>
    <col min="10" max="10" width="17.5703125" customWidth="1"/>
  </cols>
  <sheetData>
    <row r="2" spans="2:10" x14ac:dyDescent="0.25">
      <c r="B2" t="s">
        <v>0</v>
      </c>
      <c r="C2" s="1" t="s">
        <v>8</v>
      </c>
      <c r="D2" t="s">
        <v>1</v>
      </c>
      <c r="E2" t="s">
        <v>6</v>
      </c>
      <c r="F2" t="s">
        <v>3</v>
      </c>
      <c r="G2" t="s">
        <v>4</v>
      </c>
      <c r="H2" t="s">
        <v>5</v>
      </c>
      <c r="I2" t="s">
        <v>13</v>
      </c>
      <c r="J2" t="s">
        <v>12</v>
      </c>
    </row>
    <row r="3" spans="2:10" x14ac:dyDescent="0.25">
      <c r="C3" t="s">
        <v>9</v>
      </c>
      <c r="D3" t="s">
        <v>2</v>
      </c>
      <c r="I3" t="s">
        <v>11</v>
      </c>
      <c r="J3" t="s">
        <v>11</v>
      </c>
    </row>
    <row r="4" spans="2:10" x14ac:dyDescent="0.25">
      <c r="B4" t="s">
        <v>10</v>
      </c>
    </row>
    <row r="5" spans="2:10" x14ac:dyDescent="0.25">
      <c r="B5">
        <v>1</v>
      </c>
      <c r="C5">
        <v>2.5</v>
      </c>
      <c r="D5">
        <v>30</v>
      </c>
      <c r="E5" t="s">
        <v>7</v>
      </c>
      <c r="F5">
        <v>1500</v>
      </c>
      <c r="G5">
        <v>10000</v>
      </c>
      <c r="H5">
        <v>275</v>
      </c>
      <c r="I5">
        <v>522</v>
      </c>
      <c r="J5">
        <v>308</v>
      </c>
    </row>
    <row r="6" spans="2:10" x14ac:dyDescent="0.25">
      <c r="B6">
        <v>2</v>
      </c>
      <c r="C6">
        <v>2.5</v>
      </c>
      <c r="D6">
        <v>30</v>
      </c>
      <c r="E6" t="s">
        <v>7</v>
      </c>
      <c r="F6">
        <v>1500</v>
      </c>
      <c r="G6">
        <v>10000</v>
      </c>
      <c r="H6">
        <v>150</v>
      </c>
      <c r="I6">
        <v>680</v>
      </c>
      <c r="J6">
        <v>760</v>
      </c>
    </row>
    <row r="7" spans="2:10" x14ac:dyDescent="0.25">
      <c r="B7">
        <v>3</v>
      </c>
      <c r="C7">
        <v>2.6</v>
      </c>
      <c r="D7">
        <v>30</v>
      </c>
      <c r="E7" t="s">
        <v>7</v>
      </c>
      <c r="F7">
        <v>1000</v>
      </c>
      <c r="G7">
        <v>10000</v>
      </c>
      <c r="H7">
        <v>275</v>
      </c>
      <c r="I7">
        <v>746</v>
      </c>
      <c r="J7">
        <v>837</v>
      </c>
    </row>
    <row r="8" spans="2:10" x14ac:dyDescent="0.25">
      <c r="B8">
        <v>4</v>
      </c>
      <c r="C8">
        <v>2.4</v>
      </c>
      <c r="D8">
        <v>30</v>
      </c>
      <c r="E8" t="s">
        <v>7</v>
      </c>
      <c r="F8">
        <v>1000</v>
      </c>
      <c r="G8">
        <v>10000</v>
      </c>
      <c r="H8">
        <v>150</v>
      </c>
      <c r="I8">
        <v>640</v>
      </c>
      <c r="J8">
        <v>700</v>
      </c>
    </row>
    <row r="9" spans="2:10" x14ac:dyDescent="0.25">
      <c r="B9">
        <v>5</v>
      </c>
      <c r="C9">
        <v>3.2</v>
      </c>
      <c r="D9">
        <v>31</v>
      </c>
      <c r="E9" t="s">
        <v>7</v>
      </c>
      <c r="F9">
        <v>1500</v>
      </c>
      <c r="G9">
        <v>10000</v>
      </c>
      <c r="H9">
        <v>275</v>
      </c>
      <c r="I9">
        <v>830</v>
      </c>
      <c r="J9">
        <v>950</v>
      </c>
    </row>
    <row r="10" spans="2:10" x14ac:dyDescent="0.25">
      <c r="B10">
        <v>6</v>
      </c>
      <c r="C10">
        <v>3.2</v>
      </c>
      <c r="D10">
        <v>31</v>
      </c>
      <c r="E10" t="s">
        <v>7</v>
      </c>
      <c r="F10">
        <v>1500</v>
      </c>
      <c r="G10">
        <v>10000</v>
      </c>
      <c r="H10">
        <v>150</v>
      </c>
      <c r="I10">
        <v>660</v>
      </c>
      <c r="J10">
        <v>850</v>
      </c>
    </row>
    <row r="11" spans="2:10" x14ac:dyDescent="0.25">
      <c r="B11">
        <v>7</v>
      </c>
      <c r="C11">
        <v>3.2</v>
      </c>
      <c r="D11">
        <v>31</v>
      </c>
      <c r="E11" t="s">
        <v>7</v>
      </c>
      <c r="F11">
        <v>1000</v>
      </c>
      <c r="G11">
        <v>10000</v>
      </c>
      <c r="H11">
        <v>275</v>
      </c>
      <c r="I11">
        <v>785</v>
      </c>
      <c r="J11">
        <v>885</v>
      </c>
    </row>
    <row r="12" spans="2:10" x14ac:dyDescent="0.25">
      <c r="B12">
        <v>8</v>
      </c>
      <c r="C12">
        <v>3.1</v>
      </c>
      <c r="D12">
        <v>31</v>
      </c>
      <c r="E12" t="s">
        <v>7</v>
      </c>
      <c r="F12">
        <v>1000</v>
      </c>
      <c r="G12">
        <v>10000</v>
      </c>
      <c r="H12">
        <v>150</v>
      </c>
      <c r="I12">
        <v>725</v>
      </c>
      <c r="J12">
        <v>810</v>
      </c>
    </row>
    <row r="13" spans="2:10" x14ac:dyDescent="0.25">
      <c r="B13">
        <v>9</v>
      </c>
    </row>
    <row r="14" spans="2:10" x14ac:dyDescent="0.25">
      <c r="B14">
        <v>10</v>
      </c>
    </row>
  </sheetData>
  <conditionalFormatting sqref="C5:C14">
    <cfRule type="cellIs" dxfId="1" priority="7" operator="lessThan">
      <formula>3</formula>
    </cfRule>
    <cfRule type="cellIs" dxfId="0" priority="8" operator="greaterThan">
      <formula>3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11A9-A725-4CFC-8169-DACA818D4AC9}">
  <dimension ref="B2:K16"/>
  <sheetViews>
    <sheetView tabSelected="1" zoomScale="145" zoomScaleNormal="145" workbookViewId="0">
      <selection activeCell="F6" sqref="F6"/>
    </sheetView>
  </sheetViews>
  <sheetFormatPr baseColWidth="10" defaultRowHeight="15" x14ac:dyDescent="0.25"/>
  <sheetData>
    <row r="2" spans="2:11" x14ac:dyDescent="0.25">
      <c r="B2" s="5" t="s">
        <v>19</v>
      </c>
      <c r="C2" s="5" t="s">
        <v>20</v>
      </c>
      <c r="D2" s="5" t="s">
        <v>21</v>
      </c>
      <c r="E2" s="5" t="s">
        <v>15</v>
      </c>
      <c r="I2" s="2" t="s">
        <v>34</v>
      </c>
    </row>
    <row r="3" spans="2:11" x14ac:dyDescent="0.25">
      <c r="E3" s="6" t="s">
        <v>16</v>
      </c>
      <c r="F3" s="6" t="s">
        <v>17</v>
      </c>
      <c r="G3" s="6" t="s">
        <v>18</v>
      </c>
      <c r="H3" s="6" t="s">
        <v>33</v>
      </c>
    </row>
    <row r="4" spans="2:11" x14ac:dyDescent="0.25">
      <c r="E4" t="s">
        <v>22</v>
      </c>
      <c r="F4" t="s">
        <v>11</v>
      </c>
      <c r="G4" t="s">
        <v>11</v>
      </c>
      <c r="H4" t="s">
        <v>11</v>
      </c>
      <c r="I4" s="2" t="s">
        <v>28</v>
      </c>
      <c r="J4" s="2" t="s">
        <v>29</v>
      </c>
      <c r="K4" s="2" t="s">
        <v>30</v>
      </c>
    </row>
    <row r="5" spans="2:11" x14ac:dyDescent="0.25">
      <c r="B5" t="s">
        <v>23</v>
      </c>
      <c r="C5">
        <v>3</v>
      </c>
      <c r="D5" t="s">
        <v>14</v>
      </c>
      <c r="E5" s="4">
        <v>1.6</v>
      </c>
      <c r="F5" s="4">
        <v>500</v>
      </c>
      <c r="G5" s="4">
        <v>160</v>
      </c>
      <c r="I5" s="2">
        <f>(G5-F5)/(2*E5)</f>
        <v>-106.25</v>
      </c>
      <c r="J5" s="2">
        <f>E5^2</f>
        <v>2.5600000000000005</v>
      </c>
      <c r="K5" s="2">
        <f t="shared" ref="K5:K16" si="0">(I5*J5)+(F5*E5)</f>
        <v>528</v>
      </c>
    </row>
    <row r="6" spans="2:11" x14ac:dyDescent="0.25">
      <c r="E6">
        <v>1.4</v>
      </c>
      <c r="F6">
        <v>160</v>
      </c>
      <c r="G6">
        <v>450</v>
      </c>
      <c r="H6">
        <f>(K5+K6)/E6</f>
        <v>682.14285714285722</v>
      </c>
      <c r="I6" s="2">
        <f>(G6-F6)/(2*E6)</f>
        <v>103.57142857142858</v>
      </c>
      <c r="J6" s="2">
        <f>E6^2</f>
        <v>1.9599999999999997</v>
      </c>
      <c r="K6" s="2">
        <f t="shared" si="0"/>
        <v>427</v>
      </c>
    </row>
    <row r="7" spans="2:11" x14ac:dyDescent="0.25">
      <c r="C7">
        <v>6</v>
      </c>
      <c r="D7" t="s">
        <v>27</v>
      </c>
      <c r="E7">
        <v>3</v>
      </c>
      <c r="F7">
        <v>450</v>
      </c>
      <c r="G7">
        <v>160</v>
      </c>
      <c r="H7">
        <f>K7/E7</f>
        <v>305</v>
      </c>
      <c r="I7" s="2">
        <f>(G7-F7)/(2*E7)</f>
        <v>-48.333333333333336</v>
      </c>
      <c r="J7" s="2">
        <f>E7^2</f>
        <v>9</v>
      </c>
      <c r="K7" s="2">
        <f t="shared" si="0"/>
        <v>915</v>
      </c>
    </row>
    <row r="8" spans="2:11" x14ac:dyDescent="0.25">
      <c r="B8" t="s">
        <v>24</v>
      </c>
      <c r="C8" s="3" t="s">
        <v>31</v>
      </c>
      <c r="D8" s="3" t="s">
        <v>14</v>
      </c>
      <c r="E8">
        <v>2.1</v>
      </c>
      <c r="F8">
        <v>145</v>
      </c>
      <c r="G8">
        <v>500</v>
      </c>
      <c r="H8" t="s">
        <v>32</v>
      </c>
      <c r="I8" s="2">
        <f t="shared" ref="I8" si="1">(G8-F8)/(2*E8)</f>
        <v>84.523809523809518</v>
      </c>
      <c r="J8" s="2">
        <f t="shared" ref="J8" si="2">E8^2</f>
        <v>4.41</v>
      </c>
      <c r="K8" s="2">
        <f t="shared" si="0"/>
        <v>677.25</v>
      </c>
    </row>
    <row r="9" spans="2:11" x14ac:dyDescent="0.25">
      <c r="C9" s="3"/>
      <c r="D9" s="3"/>
      <c r="E9">
        <v>1.4</v>
      </c>
      <c r="F9">
        <v>340</v>
      </c>
      <c r="G9">
        <v>145</v>
      </c>
      <c r="H9">
        <f>(K8+K9)/E8</f>
        <v>484.16666666666663</v>
      </c>
      <c r="I9" s="2">
        <f t="shared" ref="I9" si="3">(G9-F9)/(2*E9)</f>
        <v>-69.642857142857153</v>
      </c>
      <c r="J9" s="2">
        <f t="shared" ref="J9" si="4">E9^2</f>
        <v>1.9599999999999997</v>
      </c>
      <c r="K9" s="2">
        <f t="shared" si="0"/>
        <v>339.49999999999994</v>
      </c>
    </row>
    <row r="10" spans="2:11" x14ac:dyDescent="0.25">
      <c r="C10">
        <v>7</v>
      </c>
      <c r="D10" t="s">
        <v>27</v>
      </c>
      <c r="E10">
        <v>3.4</v>
      </c>
      <c r="F10">
        <v>357</v>
      </c>
      <c r="G10">
        <v>35</v>
      </c>
      <c r="H10">
        <f>K10/E10</f>
        <v>196</v>
      </c>
      <c r="I10" s="2">
        <f t="shared" ref="I10:I16" si="5">(G10-F10)/(2*E10)</f>
        <v>-47.352941176470587</v>
      </c>
      <c r="J10" s="2">
        <f t="shared" ref="J10:J16" si="6">E10^2</f>
        <v>11.559999999999999</v>
      </c>
      <c r="K10" s="2">
        <f t="shared" si="0"/>
        <v>666.4</v>
      </c>
    </row>
    <row r="11" spans="2:11" x14ac:dyDescent="0.25">
      <c r="B11" t="s">
        <v>25</v>
      </c>
      <c r="D11" t="s">
        <v>14</v>
      </c>
      <c r="E11" t="s">
        <v>32</v>
      </c>
      <c r="F11" t="s">
        <v>32</v>
      </c>
      <c r="G11" t="s">
        <v>32</v>
      </c>
      <c r="H11" t="s">
        <v>32</v>
      </c>
      <c r="I11" s="2" t="e">
        <f t="shared" si="5"/>
        <v>#VALUE!</v>
      </c>
      <c r="J11" s="2" t="e">
        <f t="shared" si="6"/>
        <v>#VALUE!</v>
      </c>
      <c r="K11" s="2" t="e">
        <f t="shared" si="0"/>
        <v>#VALUE!</v>
      </c>
    </row>
    <row r="12" spans="2:11" x14ac:dyDescent="0.25">
      <c r="E12" t="s">
        <v>32</v>
      </c>
      <c r="F12" t="s">
        <v>32</v>
      </c>
      <c r="G12" t="s">
        <v>32</v>
      </c>
      <c r="H12" t="e">
        <f>(K11+K12)/E11</f>
        <v>#VALUE!</v>
      </c>
      <c r="I12" s="2" t="e">
        <f t="shared" si="5"/>
        <v>#VALUE!</v>
      </c>
      <c r="J12" s="2" t="e">
        <f t="shared" si="6"/>
        <v>#VALUE!</v>
      </c>
      <c r="K12" s="2" t="e">
        <f t="shared" si="0"/>
        <v>#VALUE!</v>
      </c>
    </row>
    <row r="13" spans="2:11" x14ac:dyDescent="0.25">
      <c r="D13" t="s">
        <v>27</v>
      </c>
      <c r="E13" t="s">
        <v>32</v>
      </c>
      <c r="F13" t="s">
        <v>32</v>
      </c>
      <c r="G13" t="s">
        <v>32</v>
      </c>
      <c r="H13" t="e">
        <f>K13/E13</f>
        <v>#VALUE!</v>
      </c>
      <c r="I13" s="2" t="e">
        <f t="shared" si="5"/>
        <v>#VALUE!</v>
      </c>
      <c r="J13" s="2" t="e">
        <f t="shared" si="6"/>
        <v>#VALUE!</v>
      </c>
      <c r="K13" s="2" t="e">
        <f t="shared" si="0"/>
        <v>#VALUE!</v>
      </c>
    </row>
    <row r="14" spans="2:11" x14ac:dyDescent="0.25">
      <c r="B14" t="s">
        <v>26</v>
      </c>
      <c r="C14" s="3">
        <v>8</v>
      </c>
      <c r="D14" s="3" t="s">
        <v>14</v>
      </c>
      <c r="E14">
        <v>3</v>
      </c>
      <c r="F14">
        <v>184</v>
      </c>
      <c r="G14">
        <v>80</v>
      </c>
      <c r="I14" s="2">
        <f t="shared" si="5"/>
        <v>-17.333333333333332</v>
      </c>
      <c r="J14" s="2">
        <f t="shared" si="6"/>
        <v>9</v>
      </c>
      <c r="K14" s="2">
        <f t="shared" si="0"/>
        <v>396</v>
      </c>
    </row>
    <row r="15" spans="2:11" x14ac:dyDescent="0.25">
      <c r="C15" s="3"/>
      <c r="D15" s="3"/>
      <c r="E15">
        <v>1.8</v>
      </c>
      <c r="F15">
        <v>80</v>
      </c>
      <c r="G15">
        <v>290</v>
      </c>
      <c r="H15">
        <f>(K14+K15)/E15</f>
        <v>405</v>
      </c>
      <c r="I15" s="2">
        <f t="shared" si="5"/>
        <v>58.333333333333329</v>
      </c>
      <c r="J15" s="2">
        <f t="shared" si="6"/>
        <v>3.24</v>
      </c>
      <c r="K15" s="2">
        <f t="shared" si="0"/>
        <v>333</v>
      </c>
    </row>
    <row r="16" spans="2:11" x14ac:dyDescent="0.25">
      <c r="C16">
        <v>8</v>
      </c>
      <c r="D16" t="s">
        <v>27</v>
      </c>
      <c r="E16">
        <v>3.2</v>
      </c>
      <c r="F16">
        <v>160</v>
      </c>
      <c r="G16">
        <v>32</v>
      </c>
      <c r="H16">
        <f>K16/E16</f>
        <v>95.999999999999972</v>
      </c>
      <c r="I16" s="2">
        <f t="shared" si="5"/>
        <v>-20</v>
      </c>
      <c r="J16" s="2">
        <f t="shared" si="6"/>
        <v>10.240000000000002</v>
      </c>
      <c r="K16" s="2">
        <f t="shared" si="0"/>
        <v>307.19999999999993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ACT</vt:lpstr>
      <vt:lpstr>DeltaLine</vt:lpstr>
      <vt:lpstr>Faulhaber</vt:lpstr>
      <vt:lpstr>Maxon</vt:lpstr>
      <vt:lpstr>Rechner mittlere Stromaufnahme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Hoppe, Alexander</dc:creator>
  <cp:lastModifiedBy>Hoppe, Alexander</cp:lastModifiedBy>
  <dcterms:created xsi:type="dcterms:W3CDTF">2026-08-27T08:57:05Z</dcterms:created>
  <dcterms:modified xsi:type="dcterms:W3CDTF">2026-09-03T11:00:54Z</dcterms:modified>
</cp:coreProperties>
</file>